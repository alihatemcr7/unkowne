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خلاصة واللوحة التفاعلية" sheetId="1" state="visible" r:id="rId1"/>
    <sheet name="سجل النزلات التفصيلي" sheetId="2" state="visible" r:id="rId2"/>
    <sheet name="توزيع المرمر والزونات"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FFFFFF"/>
      <sz val="16"/>
    </font>
    <font>
      <name val="Calibri"/>
      <b val="1"/>
      <color rgb="00FFFFFF"/>
      <sz val="12"/>
    </font>
    <font>
      <name val="Calibri"/>
      <sz val="11"/>
    </font>
    <font>
      <name val="Calibri"/>
      <b val="1"/>
      <sz val="11"/>
    </font>
    <font>
      <name val="Calibri"/>
      <i val="1"/>
      <color rgb="00595959"/>
      <sz val="10"/>
    </font>
    <font>
      <name val="Calibri"/>
      <b val="1"/>
      <color rgb="001F4E78"/>
      <sz val="18"/>
    </font>
    <font>
      <name val="Calibri"/>
      <b val="1"/>
      <color rgb="00375623"/>
      <sz val="18"/>
    </font>
    <font>
      <name val="Calibri"/>
      <b val="1"/>
      <color rgb="00C65911"/>
      <sz val="18"/>
    </font>
  </fonts>
  <fills count="7">
    <fill>
      <patternFill/>
    </fill>
    <fill>
      <patternFill patternType="gray125"/>
    </fill>
    <fill>
      <patternFill patternType="solid">
        <fgColor rgb="001F4E78"/>
        <bgColor rgb="001F4E78"/>
      </patternFill>
    </fill>
    <fill>
      <patternFill patternType="solid">
        <fgColor rgb="00F2F5F9"/>
        <bgColor rgb="00F2F5F9"/>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s>
  <borders count="7">
    <border>
      <left/>
      <right/>
      <top/>
      <bottom/>
      <diagonal/>
    </border>
    <border>
      <left style="thin">
        <color rgb="00D3D3D3"/>
      </left>
      <right style="thin">
        <color rgb="00D3D3D3"/>
      </right>
      <top style="thin">
        <color rgb="00D3D3D3"/>
      </top>
      <bottom style="medium">
        <color rgb="001F4E78"/>
      </bottom>
    </border>
    <border>
      <left style="thin">
        <color rgb="00D3D3D3"/>
      </left>
      <right style="thin">
        <color rgb="00D3D3D3"/>
      </right>
      <top style="thin">
        <color rgb="00D3D3D3"/>
      </top>
      <bottom style="thin">
        <color rgb="00D3D3D3"/>
      </bottom>
    </border>
    <border>
      <top style="thin">
        <color rgb="00D3D3D3"/>
      </top>
      <bottom style="double">
        <color rgb="001F4E78"/>
      </bottom>
    </border>
    <border>
      <left/>
      <right/>
      <top style="thin">
        <color rgb="00D3D3D3"/>
      </top>
      <bottom/>
      <diagonal/>
    </border>
    <border>
      <left/>
      <right/>
      <top style="thin">
        <color rgb="00D3D3D3"/>
      </top>
      <bottom style="double">
        <color rgb="001F4E78"/>
      </bottom>
      <diagonal/>
    </border>
    <border>
      <right/>
      <top style="thin">
        <color rgb="00D3D3D3"/>
      </top>
      <bottom style="double">
        <color rgb="001F4E78"/>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5" fillId="6" borderId="0" applyAlignment="1" pivotButton="0" quotePrefix="0" xfId="0">
      <alignment horizontal="center" vertical="center" wrapText="1"/>
    </xf>
    <xf numFmtId="0" fontId="6" fillId="4" borderId="0" applyAlignment="1" pivotButton="0" quotePrefix="0" xfId="0">
      <alignment horizontal="center" vertical="center" wrapText="1"/>
    </xf>
    <xf numFmtId="164" fontId="7" fillId="5" borderId="0" applyAlignment="1" pivotButton="0" quotePrefix="0" xfId="0">
      <alignment horizontal="center" vertical="center" wrapText="1"/>
    </xf>
    <xf numFmtId="164" fontId="8" fillId="6" borderId="0" applyAlignment="1" pivotButton="0" quotePrefix="0" xfId="0">
      <alignment horizontal="center" vertical="center" wrapText="1"/>
    </xf>
    <xf numFmtId="0" fontId="4" fillId="0" borderId="0" pivotButton="0" quotePrefix="0" xfId="0"/>
    <xf numFmtId="0" fontId="2" fillId="2" borderId="1" applyAlignment="1" pivotButton="0" quotePrefix="0" xfId="0">
      <alignment horizontal="center" vertical="center" wrapText="1"/>
    </xf>
    <xf numFmtId="0" fontId="3" fillId="0" borderId="2" applyAlignment="1" pivotButton="0" quotePrefix="0" xfId="0">
      <alignment horizontal="right" vertical="center" wrapText="1"/>
    </xf>
    <xf numFmtId="0" fontId="3" fillId="0" borderId="2" applyAlignment="1" pivotButton="0" quotePrefix="0" xfId="0">
      <alignment horizontal="center" vertical="center" wrapText="1"/>
    </xf>
    <xf numFmtId="164" fontId="3" fillId="0" borderId="2" applyAlignment="1" pivotButton="0" quotePrefix="0" xfId="0">
      <alignment horizontal="center" vertical="center" wrapText="1"/>
    </xf>
    <xf numFmtId="0" fontId="3" fillId="0" borderId="2" applyAlignment="1" pivotButton="0" quotePrefix="0" xfId="0">
      <alignment horizontal="left" vertical="center"/>
    </xf>
    <xf numFmtId="3" fontId="3" fillId="0" borderId="2" applyAlignment="1" pivotButton="0" quotePrefix="0" xfId="0">
      <alignment horizontal="center" vertical="center" wrapText="1"/>
    </xf>
    <xf numFmtId="164" fontId="3" fillId="5" borderId="2" applyAlignment="1" pivotButton="0" quotePrefix="0" xfId="0">
      <alignment horizontal="center" vertical="center" wrapText="1"/>
    </xf>
    <xf numFmtId="0" fontId="4"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3" fillId="3" borderId="2" applyAlignment="1" pivotButton="0" quotePrefix="0" xfId="0">
      <alignment horizontal="right" vertical="center" wrapText="1"/>
    </xf>
    <xf numFmtId="0" fontId="4" fillId="0" borderId="3" applyAlignment="1" pivotButton="0" quotePrefix="0" xfId="0">
      <alignment horizontal="center" vertical="center" wrapText="1"/>
    </xf>
    <xf numFmtId="0" fontId="0" fillId="0" borderId="3" pivotButton="0" quotePrefix="0" xfId="0"/>
    <xf numFmtId="3" fontId="4" fillId="0" borderId="3" applyAlignment="1" pivotButton="0" quotePrefix="0" xfId="0">
      <alignment horizontal="center" vertical="center" wrapText="1"/>
    </xf>
    <xf numFmtId="0" fontId="4" fillId="4" borderId="3" pivotButton="0" quotePrefix="0" xfId="0"/>
    <xf numFmtId="3" fontId="4" fillId="4" borderId="3" applyAlignment="1" pivotButton="0" quotePrefix="0" xfId="0">
      <alignment horizontal="center" vertical="center" wrapText="1"/>
    </xf>
    <xf numFmtId="0" fontId="0" fillId="4" borderId="3" pivotButton="0" quotePrefix="0" xfId="0"/>
    <xf numFmtId="0" fontId="0" fillId="0" borderId="5" pivotButton="0" quotePrefix="0" xfId="0"/>
    <xf numFmtId="0" fontId="4"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I19"/>
  <sheetViews>
    <sheetView showGridLines="1" rightToLeft="1" workbookViewId="0">
      <selection activeCell="A1" sqref="A1"/>
    </sheetView>
  </sheetViews>
  <sheetFormatPr baseColWidth="8" defaultRowHeight="15"/>
  <cols>
    <col width="12" customWidth="1" min="1" max="1"/>
    <col width="69" customWidth="1" min="2" max="2"/>
    <col width="30" customWidth="1" min="3" max="3"/>
    <col width="17" customWidth="1" min="4" max="4"/>
    <col width="26" customWidth="1" min="5" max="5"/>
    <col width="12" customWidth="1" min="6" max="6"/>
    <col width="15" customWidth="1" min="7" max="7"/>
    <col width="32" customWidth="1" min="8" max="8"/>
    <col width="45" customWidth="1" min="9" max="9"/>
  </cols>
  <sheetData>
    <row r="2" ht="40" customHeight="1">
      <c r="B2" s="1" t="inlineStr">
        <is>
          <t>موقع الجندي المجهول - لوحة التحكم المباشرة ونسب الإنجاز التلقائية</t>
        </is>
      </c>
    </row>
    <row r="4">
      <c r="B4" s="2" t="inlineStr">
        <is>
          <t>إجمالي القطع المطبقة (المرمر)</t>
        </is>
      </c>
      <c r="E4" s="3" t="inlineStr">
        <is>
          <t>نسبة إنجاز السكاي لايت</t>
        </is>
      </c>
      <c r="H4" s="4" t="inlineStr">
        <is>
          <t>تطبيك النزلات (تحديث تلقائي)</t>
        </is>
      </c>
    </row>
    <row r="5">
      <c r="B5" s="5" t="n">
        <v>15613</v>
      </c>
      <c r="E5" s="6" t="n">
        <v>1</v>
      </c>
      <c r="H5" s="7">
        <f>'سجل النزلات التفصيلي'!F117/'سجل النزلات التفصيلي'!E117</f>
        <v/>
      </c>
    </row>
    <row r="7">
      <c r="B7" s="8" t="inlineStr">
        <is>
          <t>جدول المتابعة الكلي للمشروع (مرتبط بالبيانات التفصيلية)</t>
        </is>
      </c>
    </row>
    <row r="8" ht="25" customHeight="1">
      <c r="B8" s="9" t="inlineStr">
        <is>
          <t>القسم الأساسي</t>
        </is>
      </c>
      <c r="C8" s="9" t="inlineStr">
        <is>
          <t>تفاصيل الفقرة التنفيذية</t>
        </is>
      </c>
      <c r="D8" s="9" t="inlineStr">
        <is>
          <t>الكمية الكلية</t>
        </is>
      </c>
      <c r="E8" s="9" t="inlineStr">
        <is>
          <t>المنجز</t>
        </is>
      </c>
      <c r="F8" s="9" t="inlineStr">
        <is>
          <t>المتبقي</t>
        </is>
      </c>
      <c r="G8" s="9" t="inlineStr">
        <is>
          <t>الإنجاز (%)</t>
        </is>
      </c>
      <c r="H8" s="9" t="inlineStr">
        <is>
          <t>المتبقي (%)</t>
        </is>
      </c>
      <c r="I8" s="9" t="inlineStr">
        <is>
          <t>الملاحظات الموقعية</t>
        </is>
      </c>
    </row>
    <row r="9" ht="22" customHeight="1">
      <c r="B9" s="10" t="inlineStr">
        <is>
          <t>أعمال المرمر</t>
        </is>
      </c>
      <c r="C9" s="10" t="inlineStr">
        <is>
          <t>تطبيك النزلات (محدث تلقائياً)</t>
        </is>
      </c>
      <c r="D9" s="11">
        <f>'سجل النزلات التفصيلي'!E117</f>
        <v/>
      </c>
      <c r="E9" s="11">
        <f>'سجل النزلات التفصيلي'!F117</f>
        <v/>
      </c>
      <c r="F9" s="11">
        <f>'سجل النزلات التفصيلي'!G117</f>
        <v/>
      </c>
      <c r="G9" s="12">
        <f>D9/C9</f>
        <v/>
      </c>
      <c r="H9" s="12">
        <f>E9/C9</f>
        <v/>
      </c>
      <c r="I9" s="13" t="inlineStr">
        <is>
          <t>مرتبط بالكامل بالسجل التفصيلي الموقعي</t>
        </is>
      </c>
    </row>
    <row r="10" ht="22" customHeight="1">
      <c r="B10" s="10" t="inlineStr">
        <is>
          <t>أعمال المرمر</t>
        </is>
      </c>
      <c r="C10" s="10" t="inlineStr">
        <is>
          <t>استبدال رؤوس المثلثات</t>
        </is>
      </c>
      <c r="D10" s="14" t="n">
        <v>112</v>
      </c>
      <c r="E10" s="14" t="n">
        <v>112</v>
      </c>
      <c r="F10" s="14" t="n">
        <v>0</v>
      </c>
      <c r="G10" s="15">
        <f>D10/C10</f>
        <v/>
      </c>
      <c r="H10" s="12">
        <f>E10/C10</f>
        <v/>
      </c>
      <c r="I10" s="13" t="inlineStr">
        <is>
          <t>مكتمل بالكامل مع استبدال كافة القطع</t>
        </is>
      </c>
    </row>
    <row r="11" ht="22" customHeight="1">
      <c r="B11" s="10" t="inlineStr">
        <is>
          <t>أعمال المرمر</t>
        </is>
      </c>
      <c r="C11" s="10" t="inlineStr">
        <is>
          <t>شربت رؤوس المثلثات</t>
        </is>
      </c>
      <c r="D11" s="11" t="n">
        <v>112</v>
      </c>
      <c r="E11" s="11" t="n">
        <v>112</v>
      </c>
      <c r="F11" s="11" t="n">
        <v>0</v>
      </c>
      <c r="G11" s="15">
        <f>E11/D11</f>
        <v/>
      </c>
      <c r="H11" s="12">
        <f>F11/D11</f>
        <v/>
      </c>
      <c r="I11" s="13" t="inlineStr">
        <is>
          <t>منجزة ومكتملة بالكامل لكافة الزونات</t>
        </is>
      </c>
    </row>
    <row r="12" ht="22" customHeight="1">
      <c r="B12" s="10" t="inlineStr">
        <is>
          <t>أعمال المرمر</t>
        </is>
      </c>
      <c r="C12" s="10" t="inlineStr">
        <is>
          <t>شربتة النزلات</t>
        </is>
      </c>
      <c r="D12" s="11" t="inlineStr">
        <is>
          <t>-</t>
        </is>
      </c>
      <c r="E12" s="11" t="inlineStr">
        <is>
          <t>-</t>
        </is>
      </c>
      <c r="F12" s="11" t="inlineStr">
        <is>
          <t>-</t>
        </is>
      </c>
      <c r="G12" s="11" t="inlineStr">
        <is>
          <t>مستمر</t>
        </is>
      </c>
      <c r="H12" s="11" t="inlineStr">
        <is>
          <t>-</t>
        </is>
      </c>
      <c r="I12" s="13" t="inlineStr">
        <is>
          <t>زون A واصل 96% (باقي مثلثات الجوينات الطولية فقط)، زون C إلى نهاية عمل ديار نزلة رقم 19</t>
        </is>
      </c>
    </row>
    <row r="13" ht="22" customHeight="1">
      <c r="B13" s="10" t="inlineStr">
        <is>
          <t>أعمال الجوينات</t>
        </is>
      </c>
      <c r="C13" s="10" t="inlineStr">
        <is>
          <t>النزلات الأفقية الكبيرة</t>
        </is>
      </c>
      <c r="D13" s="14" t="n">
        <v>113</v>
      </c>
      <c r="E13" s="14" t="n">
        <v>38</v>
      </c>
      <c r="F13" s="14">
        <f>D13-E13</f>
        <v/>
      </c>
      <c r="G13" s="12">
        <f>E13/D13</f>
        <v/>
      </c>
      <c r="H13" s="12">
        <f>F13/D13</f>
        <v/>
      </c>
      <c r="I13" s="13" t="inlineStr">
        <is>
          <t>الطول المنجز 2204 م</t>
        </is>
      </c>
    </row>
    <row r="14" ht="22" customHeight="1">
      <c r="B14" s="10" t="inlineStr">
        <is>
          <t>أعمال الجوينات</t>
        </is>
      </c>
      <c r="C14" s="10" t="inlineStr">
        <is>
          <t>النزلات الطولية</t>
        </is>
      </c>
      <c r="D14" s="14" t="n">
        <v>110</v>
      </c>
      <c r="E14" s="14" t="n">
        <v>38</v>
      </c>
      <c r="F14" s="14">
        <f>D14-E14</f>
        <v/>
      </c>
      <c r="G14" s="12">
        <f>E14/D14</f>
        <v/>
      </c>
      <c r="H14" s="12">
        <f>F14/D14</f>
        <v/>
      </c>
      <c r="I14" s="13" t="inlineStr">
        <is>
          <t>الطول المنجز 536 م</t>
        </is>
      </c>
    </row>
    <row r="15" ht="22" customHeight="1">
      <c r="B15" s="10" t="inlineStr">
        <is>
          <t>أعمال الجوينات</t>
        </is>
      </c>
      <c r="C15" s="10" t="inlineStr">
        <is>
          <t>جوينات السكاي لايت</t>
        </is>
      </c>
      <c r="D15" s="14" t="n">
        <v>110</v>
      </c>
      <c r="E15" s="14" t="n">
        <v>110</v>
      </c>
      <c r="F15" s="14" t="n">
        <v>0</v>
      </c>
      <c r="G15" s="15">
        <f>D15/C15</f>
        <v/>
      </c>
      <c r="H15" s="12">
        <f>E15/C15</f>
        <v/>
      </c>
      <c r="I15" s="13" t="inlineStr">
        <is>
          <t>مكتملة بطول م3,435.30</t>
        </is>
      </c>
    </row>
    <row r="16" ht="22" customHeight="1">
      <c r="B16" s="10" t="inlineStr">
        <is>
          <t>سقف المتحف</t>
        </is>
      </c>
      <c r="C16" s="10" t="inlineStr">
        <is>
          <t>تنظيف هيكل الستيل</t>
        </is>
      </c>
      <c r="D16" s="14" t="n">
        <v>989</v>
      </c>
      <c r="E16" s="14" t="n">
        <v>780</v>
      </c>
      <c r="F16" s="14">
        <f>D16-E16</f>
        <v/>
      </c>
      <c r="G16" s="12">
        <f>E16/D16</f>
        <v/>
      </c>
      <c r="H16" s="12">
        <f>F16/D16</f>
        <v/>
      </c>
      <c r="I16" s="13" t="inlineStr">
        <is>
          <t>الأعمال مستمرة بنسق جيد (م² )</t>
        </is>
      </c>
    </row>
    <row r="17" ht="22" customHeight="1">
      <c r="B17" s="10" t="inlineStr">
        <is>
          <t>سقف المتحف</t>
        </is>
      </c>
      <c r="C17" s="10" t="inlineStr">
        <is>
          <t>تنظيف ألواح النحاس</t>
        </is>
      </c>
      <c r="D17" s="14" t="n">
        <v>671</v>
      </c>
      <c r="E17" s="14" t="n">
        <v>331</v>
      </c>
      <c r="F17" s="14">
        <f>D17-E17</f>
        <v/>
      </c>
      <c r="G17" s="12">
        <f>E17/D17</f>
        <v/>
      </c>
      <c r="H17" s="12">
        <f>F17/D17</f>
        <v/>
      </c>
      <c r="I17" s="13" t="inlineStr">
        <is>
          <t>مرحلة قيد العمل المكثف (م² )</t>
        </is>
      </c>
    </row>
    <row r="18">
      <c r="B18" s="10" t="inlineStr">
        <is>
          <t>سقف المتحف</t>
        </is>
      </c>
      <c r="C18" s="10" t="inlineStr">
        <is>
          <t>عزل النحاس</t>
        </is>
      </c>
      <c r="D18" s="14" t="n">
        <v>671</v>
      </c>
      <c r="E18" s="14" t="n">
        <v>485</v>
      </c>
      <c r="F18" s="14">
        <f>D18-E18</f>
        <v/>
      </c>
      <c r="G18" s="12">
        <f>E18/D18</f>
        <v/>
      </c>
      <c r="H18" s="12">
        <f>F18/D18</f>
        <v/>
      </c>
      <c r="I18" s="13" t="inlineStr">
        <is>
          <t>مرحلة العزل متقدمة (م² )</t>
        </is>
      </c>
    </row>
    <row r="19">
      <c r="B19" s="10" t="inlineStr">
        <is>
          <t>السمكرة والستيل</t>
        </is>
      </c>
      <c r="C19" s="10" t="inlineStr">
        <is>
          <t>القطع المجهزة (متر)</t>
        </is>
      </c>
      <c r="D19" s="14" t="n">
        <v>1981.69</v>
      </c>
      <c r="E19" s="14" t="n">
        <v>1471.54</v>
      </c>
      <c r="F19" s="14">
        <f>D19-E19</f>
        <v/>
      </c>
      <c r="G19" s="12">
        <f>E19/D19</f>
        <v/>
      </c>
      <c r="H19" s="12">
        <f>F19/D19</f>
        <v/>
      </c>
      <c r="I19" s="13" t="inlineStr">
        <is>
          <t>المتبقي يمثل نسبة التالف</t>
        </is>
      </c>
    </row>
  </sheetData>
  <mergeCells count="1">
    <mergeCell ref="B2:I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2:H117"/>
  <sheetViews>
    <sheetView showGridLines="1" rightToLeft="1" workbookViewId="0">
      <selection activeCell="A1" sqref="A1"/>
    </sheetView>
  </sheetViews>
  <sheetFormatPr baseColWidth="8" defaultRowHeight="15"/>
  <cols>
    <col width="51" customWidth="1" min="1" max="1"/>
    <col width="18" customWidth="1" min="2" max="2"/>
    <col width="14" customWidth="1" min="3" max="3"/>
    <col width="19" customWidth="1" min="4" max="4"/>
    <col width="17" customWidth="1" min="5" max="5"/>
    <col width="12" customWidth="1" min="6" max="6"/>
    <col width="12" customWidth="1" min="7" max="7"/>
    <col width="24" customWidth="1" min="8" max="8"/>
  </cols>
  <sheetData>
    <row r="2" ht="40" customHeight="1">
      <c r="A2" s="1" t="inlineStr">
        <is>
          <t>سجل المتابعة التفصيلي لتطبيك النزلات (113 نزلة)</t>
        </is>
      </c>
    </row>
    <row r="3" ht="25" customHeight="1">
      <c r="A3" s="9" t="n">
        <v>1</v>
      </c>
      <c r="B3" s="9" t="inlineStr">
        <is>
          <t>Zone A</t>
        </is>
      </c>
      <c r="C3" s="9" t="inlineStr">
        <is>
          <t>A1</t>
        </is>
      </c>
      <c r="D3" s="9" t="inlineStr">
        <is>
          <t>منجز</t>
        </is>
      </c>
      <c r="E3" s="9" t="n">
        <v>1</v>
      </c>
      <c r="F3" s="9">
        <f>IF(D3="منجز", 1, 0)</f>
        <v/>
      </c>
      <c r="G3" s="9">
        <f>IF(D3="متبقي", 1, 0)</f>
        <v/>
      </c>
      <c r="H3" s="9" t="inlineStr">
        <is>
          <t>مطابق لجرودات الموقع</t>
        </is>
      </c>
    </row>
    <row r="4">
      <c r="A4" s="11" t="n">
        <v>2</v>
      </c>
      <c r="B4" s="11" t="inlineStr">
        <is>
          <t>Zone A</t>
        </is>
      </c>
      <c r="C4" s="11" t="inlineStr">
        <is>
          <t>A2</t>
        </is>
      </c>
      <c r="D4" s="16" t="inlineStr">
        <is>
          <t>منجز</t>
        </is>
      </c>
      <c r="E4" s="11" t="n">
        <v>1</v>
      </c>
      <c r="F4" s="11">
        <f>IF(D4="منجز", 1, 0)</f>
        <v/>
      </c>
      <c r="G4" s="11">
        <f>IF(D4="متبقي", 1, 0)</f>
        <v/>
      </c>
      <c r="H4" s="10" t="inlineStr">
        <is>
          <t>مطابق لجرودات الموقع</t>
        </is>
      </c>
    </row>
    <row r="5">
      <c r="A5" s="17" t="n">
        <v>3</v>
      </c>
      <c r="B5" s="17" t="inlineStr">
        <is>
          <t>Zone A</t>
        </is>
      </c>
      <c r="C5" s="17" t="inlineStr">
        <is>
          <t>A3</t>
        </is>
      </c>
      <c r="D5" s="18" t="inlineStr">
        <is>
          <t>منجز</t>
        </is>
      </c>
      <c r="E5" s="17" t="n">
        <v>1</v>
      </c>
      <c r="F5" s="17">
        <f>IF(D5="منجز", 1, 0)</f>
        <v/>
      </c>
      <c r="G5" s="17">
        <f>IF(D5="متبقي", 1, 0)</f>
        <v/>
      </c>
      <c r="H5" s="19" t="inlineStr">
        <is>
          <t>مطابق لجرودات الموقع</t>
        </is>
      </c>
    </row>
    <row r="6">
      <c r="A6" s="11" t="n">
        <v>4</v>
      </c>
      <c r="B6" s="11" t="inlineStr">
        <is>
          <t>Zone A</t>
        </is>
      </c>
      <c r="C6" s="11" t="inlineStr">
        <is>
          <t>A4</t>
        </is>
      </c>
      <c r="D6" s="16" t="inlineStr">
        <is>
          <t>منجز</t>
        </is>
      </c>
      <c r="E6" s="11" t="n">
        <v>1</v>
      </c>
      <c r="F6" s="11">
        <f>IF(D6="منجز", 1, 0)</f>
        <v/>
      </c>
      <c r="G6" s="11">
        <f>IF(D6="متبقي", 1, 0)</f>
        <v/>
      </c>
      <c r="H6" s="10" t="inlineStr">
        <is>
          <t>مطابق لجرودات الموقع</t>
        </is>
      </c>
    </row>
    <row r="7">
      <c r="A7" s="17" t="n">
        <v>5</v>
      </c>
      <c r="B7" s="17" t="inlineStr">
        <is>
          <t>Zone A</t>
        </is>
      </c>
      <c r="C7" s="17" t="inlineStr">
        <is>
          <t>A5</t>
        </is>
      </c>
      <c r="D7" s="18" t="inlineStr">
        <is>
          <t>منجز</t>
        </is>
      </c>
      <c r="E7" s="17" t="n">
        <v>1</v>
      </c>
      <c r="F7" s="17">
        <f>IF(D7="منجز", 1, 0)</f>
        <v/>
      </c>
      <c r="G7" s="17">
        <f>IF(D7="متبقي", 1, 0)</f>
        <v/>
      </c>
      <c r="H7" s="19" t="inlineStr">
        <is>
          <t>مطابق لجرودات الموقع</t>
        </is>
      </c>
    </row>
    <row r="8">
      <c r="A8" s="11" t="n">
        <v>6</v>
      </c>
      <c r="B8" s="11" t="inlineStr">
        <is>
          <t>Zone A</t>
        </is>
      </c>
      <c r="C8" s="11" t="inlineStr">
        <is>
          <t>A6</t>
        </is>
      </c>
      <c r="D8" s="16" t="inlineStr">
        <is>
          <t>منجز</t>
        </is>
      </c>
      <c r="E8" s="11" t="n">
        <v>1</v>
      </c>
      <c r="F8" s="11">
        <f>IF(D8="منجز", 1, 0)</f>
        <v/>
      </c>
      <c r="G8" s="11">
        <f>IF(D8="متبقي", 1, 0)</f>
        <v/>
      </c>
      <c r="H8" s="10" t="inlineStr">
        <is>
          <t>مطابق لجرودات الموقع</t>
        </is>
      </c>
    </row>
    <row r="9">
      <c r="A9" s="17" t="n">
        <v>7</v>
      </c>
      <c r="B9" s="17" t="inlineStr">
        <is>
          <t>Zone A</t>
        </is>
      </c>
      <c r="C9" s="17" t="inlineStr">
        <is>
          <t>A7</t>
        </is>
      </c>
      <c r="D9" s="18" t="inlineStr">
        <is>
          <t>منجز</t>
        </is>
      </c>
      <c r="E9" s="17" t="n">
        <v>1</v>
      </c>
      <c r="F9" s="17">
        <f>IF(D9="منجز", 1, 0)</f>
        <v/>
      </c>
      <c r="G9" s="17">
        <f>IF(D9="متبقي", 1, 0)</f>
        <v/>
      </c>
      <c r="H9" s="19" t="inlineStr">
        <is>
          <t>مطابق لجرودات الموقع</t>
        </is>
      </c>
    </row>
    <row r="10">
      <c r="A10" s="11" t="n">
        <v>8</v>
      </c>
      <c r="B10" s="11" t="inlineStr">
        <is>
          <t>Zone A</t>
        </is>
      </c>
      <c r="C10" s="11" t="inlineStr">
        <is>
          <t>A8</t>
        </is>
      </c>
      <c r="D10" s="16" t="inlineStr">
        <is>
          <t>منجز</t>
        </is>
      </c>
      <c r="E10" s="11" t="n">
        <v>1</v>
      </c>
      <c r="F10" s="11">
        <f>IF(D10="منجز", 1, 0)</f>
        <v/>
      </c>
      <c r="G10" s="11">
        <f>IF(D10="متبقي", 1, 0)</f>
        <v/>
      </c>
      <c r="H10" s="10" t="inlineStr">
        <is>
          <t>مطابق لجرودات الموقع</t>
        </is>
      </c>
    </row>
    <row r="11">
      <c r="A11" s="17" t="n">
        <v>9</v>
      </c>
      <c r="B11" s="17" t="inlineStr">
        <is>
          <t>Zone A</t>
        </is>
      </c>
      <c r="C11" s="17" t="inlineStr">
        <is>
          <t>A9</t>
        </is>
      </c>
      <c r="D11" s="18" t="inlineStr">
        <is>
          <t>منجز</t>
        </is>
      </c>
      <c r="E11" s="17" t="n">
        <v>1</v>
      </c>
      <c r="F11" s="17">
        <f>IF(D11="منجز", 1, 0)</f>
        <v/>
      </c>
      <c r="G11" s="17">
        <f>IF(D11="متبقي", 1, 0)</f>
        <v/>
      </c>
      <c r="H11" s="19" t="inlineStr">
        <is>
          <t>مطابق لجرودات الموقع</t>
        </is>
      </c>
    </row>
    <row r="12">
      <c r="A12" s="11" t="n">
        <v>10</v>
      </c>
      <c r="B12" s="11" t="inlineStr">
        <is>
          <t>Zone A</t>
        </is>
      </c>
      <c r="C12" s="11" t="inlineStr">
        <is>
          <t>A10</t>
        </is>
      </c>
      <c r="D12" s="16" t="inlineStr">
        <is>
          <t>منجز</t>
        </is>
      </c>
      <c r="E12" s="11" t="n">
        <v>1</v>
      </c>
      <c r="F12" s="11">
        <f>IF(D12="منجز", 1, 0)</f>
        <v/>
      </c>
      <c r="G12" s="11">
        <f>IF(D12="متبقي", 1, 0)</f>
        <v/>
      </c>
      <c r="H12" s="10" t="inlineStr">
        <is>
          <t>مطابق لجرودات الموقع</t>
        </is>
      </c>
    </row>
    <row r="13">
      <c r="A13" s="17" t="n">
        <v>11</v>
      </c>
      <c r="B13" s="17" t="inlineStr">
        <is>
          <t>Zone A</t>
        </is>
      </c>
      <c r="C13" s="17" t="inlineStr">
        <is>
          <t>A11</t>
        </is>
      </c>
      <c r="D13" s="18" t="inlineStr">
        <is>
          <t>منجز</t>
        </is>
      </c>
      <c r="E13" s="17" t="n">
        <v>1</v>
      </c>
      <c r="F13" s="17">
        <f>IF(D13="منجز", 1, 0)</f>
        <v/>
      </c>
      <c r="G13" s="17">
        <f>IF(D13="متبقي", 1, 0)</f>
        <v/>
      </c>
      <c r="H13" s="19" t="inlineStr">
        <is>
          <t>مطابق لجرودات الموقع</t>
        </is>
      </c>
    </row>
    <row r="14">
      <c r="A14" s="11" t="n">
        <v>12</v>
      </c>
      <c r="B14" s="11" t="inlineStr">
        <is>
          <t>Zone A</t>
        </is>
      </c>
      <c r="C14" s="11" t="inlineStr">
        <is>
          <t>A12</t>
        </is>
      </c>
      <c r="D14" s="16" t="inlineStr">
        <is>
          <t>منجز</t>
        </is>
      </c>
      <c r="E14" s="11" t="n">
        <v>1</v>
      </c>
      <c r="F14" s="11">
        <f>IF(D14="منجز", 1, 0)</f>
        <v/>
      </c>
      <c r="G14" s="11">
        <f>IF(D14="متبقي", 1, 0)</f>
        <v/>
      </c>
      <c r="H14" s="10" t="inlineStr">
        <is>
          <t>مطابق لجرودات الموقع</t>
        </is>
      </c>
    </row>
    <row r="15">
      <c r="A15" s="17" t="n">
        <v>13</v>
      </c>
      <c r="B15" s="17" t="inlineStr">
        <is>
          <t>Zone A</t>
        </is>
      </c>
      <c r="C15" s="17" t="inlineStr">
        <is>
          <t>A13</t>
        </is>
      </c>
      <c r="D15" s="18" t="inlineStr">
        <is>
          <t>منجز</t>
        </is>
      </c>
      <c r="E15" s="17" t="n">
        <v>1</v>
      </c>
      <c r="F15" s="17">
        <f>IF(D15="منجز", 1, 0)</f>
        <v/>
      </c>
      <c r="G15" s="17">
        <f>IF(D15="متبقي", 1, 0)</f>
        <v/>
      </c>
      <c r="H15" s="19" t="inlineStr">
        <is>
          <t>مطابق لجرودات الموقع</t>
        </is>
      </c>
    </row>
    <row r="16">
      <c r="A16" s="11" t="n">
        <v>14</v>
      </c>
      <c r="B16" s="11" t="inlineStr">
        <is>
          <t>Zone A</t>
        </is>
      </c>
      <c r="C16" s="11" t="inlineStr">
        <is>
          <t>A14</t>
        </is>
      </c>
      <c r="D16" s="16" t="inlineStr">
        <is>
          <t>منجز</t>
        </is>
      </c>
      <c r="E16" s="11" t="n">
        <v>1</v>
      </c>
      <c r="F16" s="11">
        <f>IF(D16="منجز", 1, 0)</f>
        <v/>
      </c>
      <c r="G16" s="11">
        <f>IF(D16="متبقي", 1, 0)</f>
        <v/>
      </c>
      <c r="H16" s="10" t="inlineStr">
        <is>
          <t>مطابق لجرودات الموقع</t>
        </is>
      </c>
    </row>
    <row r="17">
      <c r="A17" s="17" t="n">
        <v>15</v>
      </c>
      <c r="B17" s="17" t="inlineStr">
        <is>
          <t>Zone A</t>
        </is>
      </c>
      <c r="C17" s="17" t="inlineStr">
        <is>
          <t>A15</t>
        </is>
      </c>
      <c r="D17" s="18" t="inlineStr">
        <is>
          <t>منجز</t>
        </is>
      </c>
      <c r="E17" s="17" t="n">
        <v>1</v>
      </c>
      <c r="F17" s="17">
        <f>IF(D17="منجز", 1, 0)</f>
        <v/>
      </c>
      <c r="G17" s="17">
        <f>IF(D17="متبقي", 1, 0)</f>
        <v/>
      </c>
      <c r="H17" s="19" t="inlineStr">
        <is>
          <t>مطابق لجرودات الموقع</t>
        </is>
      </c>
    </row>
    <row r="18">
      <c r="A18" s="11" t="n">
        <v>16</v>
      </c>
      <c r="B18" s="11" t="inlineStr">
        <is>
          <t>Zone A</t>
        </is>
      </c>
      <c r="C18" s="11" t="inlineStr">
        <is>
          <t>A16</t>
        </is>
      </c>
      <c r="D18" s="16" t="inlineStr">
        <is>
          <t>منجز</t>
        </is>
      </c>
      <c r="E18" s="11" t="n">
        <v>1</v>
      </c>
      <c r="F18" s="11">
        <f>IF(D18="منجز", 1, 0)</f>
        <v/>
      </c>
      <c r="G18" s="11">
        <f>IF(D18="متبقي", 1, 0)</f>
        <v/>
      </c>
      <c r="H18" s="10" t="inlineStr">
        <is>
          <t>مطابق لجرودات الموقع</t>
        </is>
      </c>
    </row>
    <row r="19">
      <c r="A19" s="17" t="n">
        <v>17</v>
      </c>
      <c r="B19" s="17" t="inlineStr">
        <is>
          <t>Zone A</t>
        </is>
      </c>
      <c r="C19" s="17" t="inlineStr">
        <is>
          <t>A17</t>
        </is>
      </c>
      <c r="D19" s="18" t="inlineStr">
        <is>
          <t>منجز</t>
        </is>
      </c>
      <c r="E19" s="17" t="n">
        <v>1</v>
      </c>
      <c r="F19" s="17">
        <f>IF(D19="منجز", 1, 0)</f>
        <v/>
      </c>
      <c r="G19" s="17">
        <f>IF(D19="متبقي", 1, 0)</f>
        <v/>
      </c>
      <c r="H19" s="19" t="inlineStr">
        <is>
          <t>مطابق لجرودات الموقع</t>
        </is>
      </c>
    </row>
    <row r="20">
      <c r="A20" s="11" t="n">
        <v>18</v>
      </c>
      <c r="B20" s="11" t="inlineStr">
        <is>
          <t>Zone A</t>
        </is>
      </c>
      <c r="C20" s="11" t="inlineStr">
        <is>
          <t>A18</t>
        </is>
      </c>
      <c r="D20" s="16" t="inlineStr">
        <is>
          <t>منجز</t>
        </is>
      </c>
      <c r="E20" s="11" t="n">
        <v>1</v>
      </c>
      <c r="F20" s="11">
        <f>IF(D20="منجز", 1, 0)</f>
        <v/>
      </c>
      <c r="G20" s="11">
        <f>IF(D20="متبقي", 1, 0)</f>
        <v/>
      </c>
      <c r="H20" s="10" t="inlineStr">
        <is>
          <t>مطابق لجرودات الموقع</t>
        </is>
      </c>
    </row>
    <row r="21">
      <c r="A21" s="17" t="n">
        <v>19</v>
      </c>
      <c r="B21" s="17" t="inlineStr">
        <is>
          <t>Zone A</t>
        </is>
      </c>
      <c r="C21" s="17" t="inlineStr">
        <is>
          <t>A19</t>
        </is>
      </c>
      <c r="D21" s="18" t="inlineStr">
        <is>
          <t>منجز</t>
        </is>
      </c>
      <c r="E21" s="17" t="n">
        <v>1</v>
      </c>
      <c r="F21" s="17">
        <f>IF(D21="منجز", 1, 0)</f>
        <v/>
      </c>
      <c r="G21" s="17">
        <f>IF(D21="متبقي", 1, 0)</f>
        <v/>
      </c>
      <c r="H21" s="19" t="inlineStr">
        <is>
          <t>مطابق لجرودات الموقع</t>
        </is>
      </c>
    </row>
    <row r="22">
      <c r="A22" s="11" t="n">
        <v>20</v>
      </c>
      <c r="B22" s="11" t="inlineStr">
        <is>
          <t>Zone A</t>
        </is>
      </c>
      <c r="C22" s="11" t="inlineStr">
        <is>
          <t>A20</t>
        </is>
      </c>
      <c r="D22" s="16" t="inlineStr">
        <is>
          <t>منجز</t>
        </is>
      </c>
      <c r="E22" s="11" t="n">
        <v>1</v>
      </c>
      <c r="F22" s="11">
        <f>IF(D22="منجز", 1, 0)</f>
        <v/>
      </c>
      <c r="G22" s="11">
        <f>IF(D22="متبقي", 1, 0)</f>
        <v/>
      </c>
      <c r="H22" s="10" t="inlineStr">
        <is>
          <t>مطابق لجرودات الموقع</t>
        </is>
      </c>
    </row>
    <row r="23">
      <c r="A23" s="17" t="n">
        <v>21</v>
      </c>
      <c r="B23" s="17" t="inlineStr">
        <is>
          <t>Zone A</t>
        </is>
      </c>
      <c r="C23" s="17" t="inlineStr">
        <is>
          <t>A21</t>
        </is>
      </c>
      <c r="D23" s="18" t="inlineStr">
        <is>
          <t>منجز</t>
        </is>
      </c>
      <c r="E23" s="17" t="n">
        <v>1</v>
      </c>
      <c r="F23" s="17">
        <f>IF(D23="منجز", 1, 0)</f>
        <v/>
      </c>
      <c r="G23" s="17">
        <f>IF(D23="متبقي", 1, 0)</f>
        <v/>
      </c>
      <c r="H23" s="19" t="inlineStr">
        <is>
          <t>مطابق لجرودات الموقع</t>
        </is>
      </c>
    </row>
    <row r="24">
      <c r="A24" s="11" t="n">
        <v>22</v>
      </c>
      <c r="B24" s="11" t="inlineStr">
        <is>
          <t>Zone A</t>
        </is>
      </c>
      <c r="C24" s="11" t="inlineStr">
        <is>
          <t>A22</t>
        </is>
      </c>
      <c r="D24" s="16" t="inlineStr">
        <is>
          <t>منجز</t>
        </is>
      </c>
      <c r="E24" s="11" t="n">
        <v>1</v>
      </c>
      <c r="F24" s="11">
        <f>IF(D24="منجز", 1, 0)</f>
        <v/>
      </c>
      <c r="G24" s="11">
        <f>IF(D24="متبقي", 1, 0)</f>
        <v/>
      </c>
      <c r="H24" s="10" t="inlineStr">
        <is>
          <t>مطابق لجرودات الموقع</t>
        </is>
      </c>
    </row>
    <row r="25">
      <c r="A25" s="17" t="n">
        <v>23</v>
      </c>
      <c r="B25" s="17" t="inlineStr">
        <is>
          <t>Zone A</t>
        </is>
      </c>
      <c r="C25" s="17" t="inlineStr">
        <is>
          <t>A23</t>
        </is>
      </c>
      <c r="D25" s="18" t="inlineStr">
        <is>
          <t>منجز</t>
        </is>
      </c>
      <c r="E25" s="17" t="n">
        <v>1</v>
      </c>
      <c r="F25" s="17">
        <f>IF(D25="منجز", 1, 0)</f>
        <v/>
      </c>
      <c r="G25" s="17">
        <f>IF(D25="متبقي", 1, 0)</f>
        <v/>
      </c>
      <c r="H25" s="19" t="inlineStr">
        <is>
          <t>مطابق لجرودات الموقع</t>
        </is>
      </c>
    </row>
    <row r="26">
      <c r="A26" s="11" t="n">
        <v>24</v>
      </c>
      <c r="B26" s="11" t="inlineStr">
        <is>
          <t>Zone A</t>
        </is>
      </c>
      <c r="C26" s="11" t="inlineStr">
        <is>
          <t>A24</t>
        </is>
      </c>
      <c r="D26" s="16" t="inlineStr">
        <is>
          <t>منجز</t>
        </is>
      </c>
      <c r="E26" s="11" t="n">
        <v>1</v>
      </c>
      <c r="F26" s="11">
        <f>IF(D26="منجز", 1, 0)</f>
        <v/>
      </c>
      <c r="G26" s="11">
        <f>IF(D26="متبقي", 1, 0)</f>
        <v/>
      </c>
      <c r="H26" s="10" t="inlineStr">
        <is>
          <t>مطابق لجرودات الموقع</t>
        </is>
      </c>
    </row>
    <row r="27">
      <c r="A27" s="17" t="n">
        <v>25</v>
      </c>
      <c r="B27" s="17" t="inlineStr">
        <is>
          <t>Zone A</t>
        </is>
      </c>
      <c r="C27" s="17" t="inlineStr">
        <is>
          <t>A25</t>
        </is>
      </c>
      <c r="D27" s="18" t="inlineStr">
        <is>
          <t>منجز</t>
        </is>
      </c>
      <c r="E27" s="17" t="n">
        <v>1</v>
      </c>
      <c r="F27" s="17">
        <f>IF(D27="منجز", 1, 0)</f>
        <v/>
      </c>
      <c r="G27" s="17">
        <f>IF(D27="متبقي", 1, 0)</f>
        <v/>
      </c>
      <c r="H27" s="19" t="inlineStr">
        <is>
          <t>مطابق لجرودات الموقع</t>
        </is>
      </c>
    </row>
    <row r="28">
      <c r="A28" s="11" t="n">
        <v>26</v>
      </c>
      <c r="B28" s="11" t="inlineStr">
        <is>
          <t>Zone A</t>
        </is>
      </c>
      <c r="C28" s="11" t="inlineStr">
        <is>
          <t>A26</t>
        </is>
      </c>
      <c r="D28" s="16" t="inlineStr">
        <is>
          <t>منجز</t>
        </is>
      </c>
      <c r="E28" s="11" t="n">
        <v>1</v>
      </c>
      <c r="F28" s="11">
        <f>IF(D28="منجز", 1, 0)</f>
        <v/>
      </c>
      <c r="G28" s="11">
        <f>IF(D28="متبقي", 1, 0)</f>
        <v/>
      </c>
      <c r="H28" s="10" t="inlineStr">
        <is>
          <t>مطابق لجرودات الموقع</t>
        </is>
      </c>
    </row>
    <row r="29">
      <c r="A29" s="17" t="n">
        <v>27</v>
      </c>
      <c r="B29" s="17" t="inlineStr">
        <is>
          <t>Zone A</t>
        </is>
      </c>
      <c r="C29" s="17" t="inlineStr">
        <is>
          <t>A27</t>
        </is>
      </c>
      <c r="D29" s="18" t="inlineStr">
        <is>
          <t>منجز</t>
        </is>
      </c>
      <c r="E29" s="17" t="n">
        <v>1</v>
      </c>
      <c r="F29" s="17">
        <f>IF(D29="منجز", 1, 0)</f>
        <v/>
      </c>
      <c r="G29" s="17">
        <f>IF(D29="متبقي", 1, 0)</f>
        <v/>
      </c>
      <c r="H29" s="19" t="inlineStr">
        <is>
          <t>مطابق لجرودات الموقع</t>
        </is>
      </c>
    </row>
    <row r="30">
      <c r="A30" s="11" t="n">
        <v>28</v>
      </c>
      <c r="B30" s="11" t="inlineStr">
        <is>
          <t>Zone A</t>
        </is>
      </c>
      <c r="C30" s="11" t="inlineStr">
        <is>
          <t>A28</t>
        </is>
      </c>
      <c r="D30" s="16" t="inlineStr">
        <is>
          <t>منجز</t>
        </is>
      </c>
      <c r="E30" s="11" t="n">
        <v>1</v>
      </c>
      <c r="F30" s="11">
        <f>IF(D30="منجز", 1, 0)</f>
        <v/>
      </c>
      <c r="G30" s="11">
        <f>IF(D30="متبقي", 1, 0)</f>
        <v/>
      </c>
      <c r="H30" s="10" t="inlineStr">
        <is>
          <t>مطابق لجرودات الموقع</t>
        </is>
      </c>
    </row>
    <row r="31">
      <c r="A31" s="17" t="n">
        <v>29</v>
      </c>
      <c r="B31" s="17" t="inlineStr">
        <is>
          <t>Zone A</t>
        </is>
      </c>
      <c r="C31" s="17" t="inlineStr">
        <is>
          <t>A29</t>
        </is>
      </c>
      <c r="D31" s="18" t="inlineStr">
        <is>
          <t>منجز</t>
        </is>
      </c>
      <c r="E31" s="17" t="n">
        <v>1</v>
      </c>
      <c r="F31" s="17">
        <f>IF(D31="منجز", 1, 0)</f>
        <v/>
      </c>
      <c r="G31" s="17">
        <f>IF(D31="متبقي", 1, 0)</f>
        <v/>
      </c>
      <c r="H31" s="19" t="inlineStr">
        <is>
          <t>مطابق لجرودات الموقع</t>
        </is>
      </c>
    </row>
    <row r="32">
      <c r="A32" s="11" t="n">
        <v>30</v>
      </c>
      <c r="B32" s="11" t="inlineStr">
        <is>
          <t>Zone A</t>
        </is>
      </c>
      <c r="C32" s="11" t="inlineStr">
        <is>
          <t>A30</t>
        </is>
      </c>
      <c r="D32" s="16" t="inlineStr">
        <is>
          <t>منجز</t>
        </is>
      </c>
      <c r="E32" s="11" t="n">
        <v>1</v>
      </c>
      <c r="F32" s="11">
        <f>IF(D32="منجز", 1, 0)</f>
        <v/>
      </c>
      <c r="G32" s="11">
        <f>IF(D32="متبقي", 1, 0)</f>
        <v/>
      </c>
      <c r="H32" s="10" t="inlineStr">
        <is>
          <t>مطابق لجرودات الموقع</t>
        </is>
      </c>
    </row>
    <row r="33">
      <c r="A33" s="17" t="n">
        <v>31</v>
      </c>
      <c r="B33" s="17" t="inlineStr">
        <is>
          <t>Zone A</t>
        </is>
      </c>
      <c r="C33" s="17" t="inlineStr">
        <is>
          <t>A31</t>
        </is>
      </c>
      <c r="D33" s="18" t="inlineStr">
        <is>
          <t>منجز</t>
        </is>
      </c>
      <c r="E33" s="17" t="n">
        <v>1</v>
      </c>
      <c r="F33" s="17">
        <f>IF(D33="منجز", 1, 0)</f>
        <v/>
      </c>
      <c r="G33" s="17">
        <f>IF(D33="متبقي", 1, 0)</f>
        <v/>
      </c>
      <c r="H33" s="19" t="inlineStr">
        <is>
          <t>مطابق لجرودات الموقع</t>
        </is>
      </c>
    </row>
    <row r="34">
      <c r="A34" s="11" t="n">
        <v>32</v>
      </c>
      <c r="B34" s="11" t="inlineStr">
        <is>
          <t>Zone A</t>
        </is>
      </c>
      <c r="C34" s="11" t="inlineStr">
        <is>
          <t>A32</t>
        </is>
      </c>
      <c r="D34" s="16" t="inlineStr">
        <is>
          <t>منجز</t>
        </is>
      </c>
      <c r="E34" s="11" t="n">
        <v>1</v>
      </c>
      <c r="F34" s="11">
        <f>IF(D34="منجز", 1, 0)</f>
        <v/>
      </c>
      <c r="G34" s="11">
        <f>IF(D34="متبقي", 1, 0)</f>
        <v/>
      </c>
      <c r="H34" s="10" t="inlineStr">
        <is>
          <t>مطابق لجرودات الموقع</t>
        </is>
      </c>
    </row>
    <row r="35">
      <c r="A35" s="17" t="n">
        <v>33</v>
      </c>
      <c r="B35" s="17" t="inlineStr">
        <is>
          <t>Zone A</t>
        </is>
      </c>
      <c r="C35" s="17" t="inlineStr">
        <is>
          <t>A33</t>
        </is>
      </c>
      <c r="D35" s="18" t="inlineStr">
        <is>
          <t>منجز</t>
        </is>
      </c>
      <c r="E35" s="17" t="n">
        <v>1</v>
      </c>
      <c r="F35" s="17">
        <f>IF(D35="منجز", 1, 0)</f>
        <v/>
      </c>
      <c r="G35" s="17">
        <f>IF(D35="متبقي", 1, 0)</f>
        <v/>
      </c>
      <c r="H35" s="19" t="inlineStr">
        <is>
          <t>مطابق لجرودات الموقع</t>
        </is>
      </c>
    </row>
    <row r="36">
      <c r="A36" s="11" t="n">
        <v>34</v>
      </c>
      <c r="B36" s="11" t="inlineStr">
        <is>
          <t>Zone A</t>
        </is>
      </c>
      <c r="C36" s="11" t="inlineStr">
        <is>
          <t>A34</t>
        </is>
      </c>
      <c r="D36" s="16" t="inlineStr">
        <is>
          <t>منجز</t>
        </is>
      </c>
      <c r="E36" s="11" t="n">
        <v>1</v>
      </c>
      <c r="F36" s="11">
        <f>IF(D36="منجز", 1, 0)</f>
        <v/>
      </c>
      <c r="G36" s="11">
        <f>IF(D36="متبقي", 1, 0)</f>
        <v/>
      </c>
      <c r="H36" s="10" t="inlineStr">
        <is>
          <t>مطابق لجرودات الموقع</t>
        </is>
      </c>
    </row>
    <row r="37">
      <c r="A37" s="17" t="n">
        <v>35</v>
      </c>
      <c r="B37" s="17" t="inlineStr">
        <is>
          <t>Zone A</t>
        </is>
      </c>
      <c r="C37" s="17" t="inlineStr">
        <is>
          <t>A35</t>
        </is>
      </c>
      <c r="D37" s="18" t="inlineStr">
        <is>
          <t>منجز</t>
        </is>
      </c>
      <c r="E37" s="17" t="n">
        <v>1</v>
      </c>
      <c r="F37" s="17">
        <f>IF(D37="منجز", 1, 0)</f>
        <v/>
      </c>
      <c r="G37" s="17">
        <f>IF(D37="متبقي", 1, 0)</f>
        <v/>
      </c>
      <c r="H37" s="19" t="inlineStr">
        <is>
          <t>مطابق لجرودات الموقع</t>
        </is>
      </c>
    </row>
    <row r="38">
      <c r="A38" s="11" t="n">
        <v>36</v>
      </c>
      <c r="B38" s="11" t="inlineStr">
        <is>
          <t>Zone A</t>
        </is>
      </c>
      <c r="C38" s="11" t="inlineStr">
        <is>
          <t>A36</t>
        </is>
      </c>
      <c r="D38" s="16" t="inlineStr">
        <is>
          <t>منجز</t>
        </is>
      </c>
      <c r="E38" s="11" t="n">
        <v>1</v>
      </c>
      <c r="F38" s="11">
        <f>IF(D38="منجز", 1, 0)</f>
        <v/>
      </c>
      <c r="G38" s="11">
        <f>IF(D38="متبقي", 1, 0)</f>
        <v/>
      </c>
      <c r="H38" s="10" t="inlineStr">
        <is>
          <t>مطابق لجرودات الموقع</t>
        </is>
      </c>
    </row>
    <row r="39">
      <c r="A39" s="17" t="n">
        <v>37</v>
      </c>
      <c r="B39" s="17" t="inlineStr">
        <is>
          <t>Zone A</t>
        </is>
      </c>
      <c r="C39" s="17" t="inlineStr">
        <is>
          <t>A37</t>
        </is>
      </c>
      <c r="D39" s="18" t="inlineStr">
        <is>
          <t>منجز</t>
        </is>
      </c>
      <c r="E39" s="17" t="n">
        <v>1</v>
      </c>
      <c r="F39" s="17">
        <f>IF(D39="منجز", 1, 0)</f>
        <v/>
      </c>
      <c r="G39" s="17">
        <f>IF(D39="متبقي", 1, 0)</f>
        <v/>
      </c>
      <c r="H39" s="19" t="inlineStr">
        <is>
          <t>مطابق لجرودات الموقع</t>
        </is>
      </c>
    </row>
    <row r="40">
      <c r="A40" s="11" t="n">
        <v>38</v>
      </c>
      <c r="B40" s="11" t="inlineStr">
        <is>
          <t>Zone B</t>
        </is>
      </c>
      <c r="C40" s="11" t="inlineStr">
        <is>
          <t>B1</t>
        </is>
      </c>
      <c r="D40" s="16" t="inlineStr">
        <is>
          <t>متبقي</t>
        </is>
      </c>
      <c r="E40" s="11" t="n">
        <v>1</v>
      </c>
      <c r="F40" s="11">
        <f>IF(D40="منجز", 1, 0)</f>
        <v/>
      </c>
      <c r="G40" s="11">
        <f>IF(D40="متبقي", 1, 0)</f>
        <v/>
      </c>
      <c r="H40" s="10" t="inlineStr">
        <is>
          <t>قيد التجهيز والعمل</t>
        </is>
      </c>
    </row>
    <row r="41">
      <c r="A41" s="17" t="n">
        <v>39</v>
      </c>
      <c r="B41" s="17" t="inlineStr">
        <is>
          <t>Zone B</t>
        </is>
      </c>
      <c r="C41" s="17" t="inlineStr">
        <is>
          <t>B2</t>
        </is>
      </c>
      <c r="D41" s="18" t="inlineStr">
        <is>
          <t>متبقي</t>
        </is>
      </c>
      <c r="E41" s="17" t="n">
        <v>1</v>
      </c>
      <c r="F41" s="17">
        <f>IF(D41="منجز", 1, 0)</f>
        <v/>
      </c>
      <c r="G41" s="17">
        <f>IF(D41="متبقي", 1, 0)</f>
        <v/>
      </c>
      <c r="H41" s="19" t="inlineStr">
        <is>
          <t>قيد التجهيز والعمل</t>
        </is>
      </c>
    </row>
    <row r="42">
      <c r="A42" s="11" t="n">
        <v>40</v>
      </c>
      <c r="B42" s="11" t="inlineStr">
        <is>
          <t>Zone B</t>
        </is>
      </c>
      <c r="C42" s="11" t="inlineStr">
        <is>
          <t>B3</t>
        </is>
      </c>
      <c r="D42" s="16" t="inlineStr">
        <is>
          <t>متبقي</t>
        </is>
      </c>
      <c r="E42" s="11" t="n">
        <v>1</v>
      </c>
      <c r="F42" s="11">
        <f>IF(D42="منجز", 1, 0)</f>
        <v/>
      </c>
      <c r="G42" s="11">
        <f>IF(D42="متبقي", 1, 0)</f>
        <v/>
      </c>
      <c r="H42" s="10" t="inlineStr">
        <is>
          <t>قيد التجهيز والعمل</t>
        </is>
      </c>
    </row>
    <row r="43">
      <c r="A43" s="17" t="n">
        <v>41</v>
      </c>
      <c r="B43" s="17" t="inlineStr">
        <is>
          <t>Zone B</t>
        </is>
      </c>
      <c r="C43" s="17" t="inlineStr">
        <is>
          <t>B4</t>
        </is>
      </c>
      <c r="D43" s="18" t="inlineStr">
        <is>
          <t>متبقي</t>
        </is>
      </c>
      <c r="E43" s="17" t="n">
        <v>1</v>
      </c>
      <c r="F43" s="17">
        <f>IF(D43="منجز", 1, 0)</f>
        <v/>
      </c>
      <c r="G43" s="17">
        <f>IF(D43="متبقي", 1, 0)</f>
        <v/>
      </c>
      <c r="H43" s="19" t="inlineStr">
        <is>
          <t>قيد التجهيز والعمل</t>
        </is>
      </c>
    </row>
    <row r="44">
      <c r="A44" s="11" t="n">
        <v>42</v>
      </c>
      <c r="B44" s="11" t="inlineStr">
        <is>
          <t>Zone B</t>
        </is>
      </c>
      <c r="C44" s="11" t="inlineStr">
        <is>
          <t>B5</t>
        </is>
      </c>
      <c r="D44" s="16" t="inlineStr">
        <is>
          <t>متبقي</t>
        </is>
      </c>
      <c r="E44" s="11" t="n">
        <v>1</v>
      </c>
      <c r="F44" s="11">
        <f>IF(D44="منجز", 1, 0)</f>
        <v/>
      </c>
      <c r="G44" s="11">
        <f>IF(D44="متبقي", 1, 0)</f>
        <v/>
      </c>
      <c r="H44" s="10" t="inlineStr">
        <is>
          <t>قيد التجهيز والعمل</t>
        </is>
      </c>
    </row>
    <row r="45">
      <c r="A45" s="17" t="n">
        <v>43</v>
      </c>
      <c r="B45" s="17" t="inlineStr">
        <is>
          <t>Zone B</t>
        </is>
      </c>
      <c r="C45" s="17" t="inlineStr">
        <is>
          <t>B6</t>
        </is>
      </c>
      <c r="D45" s="18" t="inlineStr">
        <is>
          <t>متبقي</t>
        </is>
      </c>
      <c r="E45" s="17" t="n">
        <v>1</v>
      </c>
      <c r="F45" s="17">
        <f>IF(D45="منجز", 1, 0)</f>
        <v/>
      </c>
      <c r="G45" s="17">
        <f>IF(D45="متبقي", 1, 0)</f>
        <v/>
      </c>
      <c r="H45" s="19" t="inlineStr">
        <is>
          <t>قيد التجهيز والعمل</t>
        </is>
      </c>
    </row>
    <row r="46">
      <c r="A46" s="11" t="n">
        <v>44</v>
      </c>
      <c r="B46" s="11" t="inlineStr">
        <is>
          <t>Zone B</t>
        </is>
      </c>
      <c r="C46" s="11" t="inlineStr">
        <is>
          <t>B7</t>
        </is>
      </c>
      <c r="D46" s="16" t="inlineStr">
        <is>
          <t>متبقي</t>
        </is>
      </c>
      <c r="E46" s="11" t="n">
        <v>1</v>
      </c>
      <c r="F46" s="11">
        <f>IF(D46="منجز", 1, 0)</f>
        <v/>
      </c>
      <c r="G46" s="11">
        <f>IF(D46="متبقي", 1, 0)</f>
        <v/>
      </c>
      <c r="H46" s="10" t="inlineStr">
        <is>
          <t>قيد التجهيز والعمل</t>
        </is>
      </c>
    </row>
    <row r="47">
      <c r="A47" s="17" t="n">
        <v>45</v>
      </c>
      <c r="B47" s="17" t="inlineStr">
        <is>
          <t>Zone B</t>
        </is>
      </c>
      <c r="C47" s="17" t="inlineStr">
        <is>
          <t>B8</t>
        </is>
      </c>
      <c r="D47" s="18" t="inlineStr">
        <is>
          <t>متبقي</t>
        </is>
      </c>
      <c r="E47" s="17" t="n">
        <v>1</v>
      </c>
      <c r="F47" s="17">
        <f>IF(D47="منجز", 1, 0)</f>
        <v/>
      </c>
      <c r="G47" s="17">
        <f>IF(D47="متبقي", 1, 0)</f>
        <v/>
      </c>
      <c r="H47" s="19" t="inlineStr">
        <is>
          <t>قيد التجهيز والعمل</t>
        </is>
      </c>
    </row>
    <row r="48">
      <c r="A48" s="11" t="n">
        <v>46</v>
      </c>
      <c r="B48" s="11" t="inlineStr">
        <is>
          <t>Zone B</t>
        </is>
      </c>
      <c r="C48" s="11" t="inlineStr">
        <is>
          <t>B9</t>
        </is>
      </c>
      <c r="D48" s="16" t="inlineStr">
        <is>
          <t>متبقي</t>
        </is>
      </c>
      <c r="E48" s="11" t="n">
        <v>1</v>
      </c>
      <c r="F48" s="11">
        <f>IF(D48="منجز", 1, 0)</f>
        <v/>
      </c>
      <c r="G48" s="11">
        <f>IF(D48="متبقي", 1, 0)</f>
        <v/>
      </c>
      <c r="H48" s="10" t="inlineStr">
        <is>
          <t>قيد التجهيز والعمل</t>
        </is>
      </c>
    </row>
    <row r="49">
      <c r="A49" s="17" t="n">
        <v>47</v>
      </c>
      <c r="B49" s="17" t="inlineStr">
        <is>
          <t>Zone B</t>
        </is>
      </c>
      <c r="C49" s="17" t="inlineStr">
        <is>
          <t>B10</t>
        </is>
      </c>
      <c r="D49" s="18" t="inlineStr">
        <is>
          <t>متبقي</t>
        </is>
      </c>
      <c r="E49" s="17" t="n">
        <v>1</v>
      </c>
      <c r="F49" s="17">
        <f>IF(D49="منجز", 1, 0)</f>
        <v/>
      </c>
      <c r="G49" s="17">
        <f>IF(D49="متبقي", 1, 0)</f>
        <v/>
      </c>
      <c r="H49" s="19" t="inlineStr">
        <is>
          <t>قيد التجهيز والعمل</t>
        </is>
      </c>
    </row>
    <row r="50">
      <c r="A50" s="11" t="n">
        <v>48</v>
      </c>
      <c r="B50" s="11" t="inlineStr">
        <is>
          <t>Zone B</t>
        </is>
      </c>
      <c r="C50" s="11" t="inlineStr">
        <is>
          <t>B11</t>
        </is>
      </c>
      <c r="D50" s="16" t="inlineStr">
        <is>
          <t>متبقي</t>
        </is>
      </c>
      <c r="E50" s="11" t="n">
        <v>1</v>
      </c>
      <c r="F50" s="11">
        <f>IF(D50="منجز", 1, 0)</f>
        <v/>
      </c>
      <c r="G50" s="11">
        <f>IF(D50="متبقي", 1, 0)</f>
        <v/>
      </c>
      <c r="H50" s="10" t="inlineStr">
        <is>
          <t>قيد التجهيز والعمل</t>
        </is>
      </c>
    </row>
    <row r="51">
      <c r="A51" s="17" t="n">
        <v>49</v>
      </c>
      <c r="B51" s="17" t="inlineStr">
        <is>
          <t>Zone B</t>
        </is>
      </c>
      <c r="C51" s="17" t="inlineStr">
        <is>
          <t>B12</t>
        </is>
      </c>
      <c r="D51" s="18" t="inlineStr">
        <is>
          <t>متبقي</t>
        </is>
      </c>
      <c r="E51" s="17" t="n">
        <v>1</v>
      </c>
      <c r="F51" s="17">
        <f>IF(D51="منجز", 1, 0)</f>
        <v/>
      </c>
      <c r="G51" s="17">
        <f>IF(D51="متبقي", 1, 0)</f>
        <v/>
      </c>
      <c r="H51" s="19" t="inlineStr">
        <is>
          <t>قيد التجهيز والعمل</t>
        </is>
      </c>
    </row>
    <row r="52">
      <c r="A52" s="11" t="n">
        <v>50</v>
      </c>
      <c r="B52" s="11" t="inlineStr">
        <is>
          <t>Zone B</t>
        </is>
      </c>
      <c r="C52" s="11" t="inlineStr">
        <is>
          <t>B13</t>
        </is>
      </c>
      <c r="D52" s="16" t="inlineStr">
        <is>
          <t>متبقي</t>
        </is>
      </c>
      <c r="E52" s="11" t="n">
        <v>1</v>
      </c>
      <c r="F52" s="11">
        <f>IF(D52="منجز", 1, 0)</f>
        <v/>
      </c>
      <c r="G52" s="11">
        <f>IF(D52="متبقي", 1, 0)</f>
        <v/>
      </c>
      <c r="H52" s="10" t="inlineStr">
        <is>
          <t>قيد التجهيز والعمل</t>
        </is>
      </c>
    </row>
    <row r="53">
      <c r="A53" s="17" t="n">
        <v>51</v>
      </c>
      <c r="B53" s="17" t="inlineStr">
        <is>
          <t>Zone B</t>
        </is>
      </c>
      <c r="C53" s="17" t="inlineStr">
        <is>
          <t>B14</t>
        </is>
      </c>
      <c r="D53" s="18" t="inlineStr">
        <is>
          <t>متبقي</t>
        </is>
      </c>
      <c r="E53" s="17" t="n">
        <v>1</v>
      </c>
      <c r="F53" s="17">
        <f>IF(D53="منجز", 1, 0)</f>
        <v/>
      </c>
      <c r="G53" s="17">
        <f>IF(D53="متبقي", 1, 0)</f>
        <v/>
      </c>
      <c r="H53" s="19" t="inlineStr">
        <is>
          <t>قيد التجهيز والعمل</t>
        </is>
      </c>
    </row>
    <row r="54">
      <c r="A54" s="11" t="n">
        <v>52</v>
      </c>
      <c r="B54" s="11" t="inlineStr">
        <is>
          <t>Zone B</t>
        </is>
      </c>
      <c r="C54" s="11" t="inlineStr">
        <is>
          <t>B15</t>
        </is>
      </c>
      <c r="D54" s="16" t="inlineStr">
        <is>
          <t>متبقي</t>
        </is>
      </c>
      <c r="E54" s="11" t="n">
        <v>1</v>
      </c>
      <c r="F54" s="11">
        <f>IF(D54="منجز", 1, 0)</f>
        <v/>
      </c>
      <c r="G54" s="11">
        <f>IF(D54="متبقي", 1, 0)</f>
        <v/>
      </c>
      <c r="H54" s="10" t="inlineStr">
        <is>
          <t>قيد التجهيز والعمل</t>
        </is>
      </c>
    </row>
    <row r="55">
      <c r="A55" s="17" t="n">
        <v>53</v>
      </c>
      <c r="B55" s="17" t="inlineStr">
        <is>
          <t>Zone B</t>
        </is>
      </c>
      <c r="C55" s="17" t="inlineStr">
        <is>
          <t>B16</t>
        </is>
      </c>
      <c r="D55" s="18" t="inlineStr">
        <is>
          <t>متبقي</t>
        </is>
      </c>
      <c r="E55" s="17" t="n">
        <v>1</v>
      </c>
      <c r="F55" s="17">
        <f>IF(D55="منجز", 1, 0)</f>
        <v/>
      </c>
      <c r="G55" s="17">
        <f>IF(D55="متبقي", 1, 0)</f>
        <v/>
      </c>
      <c r="H55" s="19" t="inlineStr">
        <is>
          <t>قيد التجهيز والعمل</t>
        </is>
      </c>
    </row>
    <row r="56">
      <c r="A56" s="11" t="n">
        <v>54</v>
      </c>
      <c r="B56" s="11" t="inlineStr">
        <is>
          <t>Zone B</t>
        </is>
      </c>
      <c r="C56" s="11" t="inlineStr">
        <is>
          <t>B17</t>
        </is>
      </c>
      <c r="D56" s="16" t="inlineStr">
        <is>
          <t>متبقي</t>
        </is>
      </c>
      <c r="E56" s="11" t="n">
        <v>1</v>
      </c>
      <c r="F56" s="11">
        <f>IF(D56="منجز", 1, 0)</f>
        <v/>
      </c>
      <c r="G56" s="11">
        <f>IF(D56="متبقي", 1, 0)</f>
        <v/>
      </c>
      <c r="H56" s="10" t="inlineStr">
        <is>
          <t>قيد التجهيز والعمل</t>
        </is>
      </c>
    </row>
    <row r="57">
      <c r="A57" s="17" t="n">
        <v>55</v>
      </c>
      <c r="B57" s="17" t="inlineStr">
        <is>
          <t>Zone B</t>
        </is>
      </c>
      <c r="C57" s="17" t="inlineStr">
        <is>
          <t>B18</t>
        </is>
      </c>
      <c r="D57" s="18" t="inlineStr">
        <is>
          <t>متبقي</t>
        </is>
      </c>
      <c r="E57" s="17" t="n">
        <v>1</v>
      </c>
      <c r="F57" s="17">
        <f>IF(D57="منجز", 1, 0)</f>
        <v/>
      </c>
      <c r="G57" s="17">
        <f>IF(D57="متبقي", 1, 0)</f>
        <v/>
      </c>
      <c r="H57" s="19" t="inlineStr">
        <is>
          <t>قيد التجهيز والعمل</t>
        </is>
      </c>
    </row>
    <row r="58">
      <c r="A58" s="11" t="n">
        <v>56</v>
      </c>
      <c r="B58" s="11" t="inlineStr">
        <is>
          <t>Zone B</t>
        </is>
      </c>
      <c r="C58" s="11" t="inlineStr">
        <is>
          <t>B19</t>
        </is>
      </c>
      <c r="D58" s="16" t="inlineStr">
        <is>
          <t>متبقي</t>
        </is>
      </c>
      <c r="E58" s="11" t="n">
        <v>1</v>
      </c>
      <c r="F58" s="11">
        <f>IF(D58="منجز", 1, 0)</f>
        <v/>
      </c>
      <c r="G58" s="11">
        <f>IF(D58="متبقي", 1, 0)</f>
        <v/>
      </c>
      <c r="H58" s="10" t="inlineStr">
        <is>
          <t>قيد التجهيز والعمل</t>
        </is>
      </c>
    </row>
    <row r="59">
      <c r="A59" s="17" t="n">
        <v>57</v>
      </c>
      <c r="B59" s="17" t="inlineStr">
        <is>
          <t>Zone B</t>
        </is>
      </c>
      <c r="C59" s="17" t="inlineStr">
        <is>
          <t>B20</t>
        </is>
      </c>
      <c r="D59" s="18" t="inlineStr">
        <is>
          <t>متبقي</t>
        </is>
      </c>
      <c r="E59" s="17" t="n">
        <v>1</v>
      </c>
      <c r="F59" s="17">
        <f>IF(D59="منجز", 1, 0)</f>
        <v/>
      </c>
      <c r="G59" s="17">
        <f>IF(D59="متبقي", 1, 0)</f>
        <v/>
      </c>
      <c r="H59" s="19" t="inlineStr">
        <is>
          <t>قيد التجهيز والعمل</t>
        </is>
      </c>
    </row>
    <row r="60">
      <c r="A60" s="11" t="n">
        <v>58</v>
      </c>
      <c r="B60" s="11" t="inlineStr">
        <is>
          <t>Zone B</t>
        </is>
      </c>
      <c r="C60" s="11" t="inlineStr">
        <is>
          <t>B21</t>
        </is>
      </c>
      <c r="D60" s="16" t="inlineStr">
        <is>
          <t>متبقي</t>
        </is>
      </c>
      <c r="E60" s="11" t="n">
        <v>1</v>
      </c>
      <c r="F60" s="11">
        <f>IF(D60="منجز", 1, 0)</f>
        <v/>
      </c>
      <c r="G60" s="11">
        <f>IF(D60="متبقي", 1, 0)</f>
        <v/>
      </c>
      <c r="H60" s="10" t="inlineStr">
        <is>
          <t>قيد التجهيز والعمل</t>
        </is>
      </c>
    </row>
    <row r="61">
      <c r="A61" s="17" t="n">
        <v>59</v>
      </c>
      <c r="B61" s="17" t="inlineStr">
        <is>
          <t>Zone B</t>
        </is>
      </c>
      <c r="C61" s="17" t="inlineStr">
        <is>
          <t>B22</t>
        </is>
      </c>
      <c r="D61" s="18" t="inlineStr">
        <is>
          <t>متبقي</t>
        </is>
      </c>
      <c r="E61" s="17" t="n">
        <v>1</v>
      </c>
      <c r="F61" s="17">
        <f>IF(D61="منجز", 1, 0)</f>
        <v/>
      </c>
      <c r="G61" s="17">
        <f>IF(D61="متبقي", 1, 0)</f>
        <v/>
      </c>
      <c r="H61" s="19" t="inlineStr">
        <is>
          <t>قيد التجهيز والعمل</t>
        </is>
      </c>
    </row>
    <row r="62">
      <c r="A62" s="11" t="n">
        <v>60</v>
      </c>
      <c r="B62" s="11" t="inlineStr">
        <is>
          <t>Zone B</t>
        </is>
      </c>
      <c r="C62" s="11" t="inlineStr">
        <is>
          <t>B23</t>
        </is>
      </c>
      <c r="D62" s="16" t="inlineStr">
        <is>
          <t>متبقي</t>
        </is>
      </c>
      <c r="E62" s="11" t="n">
        <v>1</v>
      </c>
      <c r="F62" s="11">
        <f>IF(D62="منجز", 1, 0)</f>
        <v/>
      </c>
      <c r="G62" s="11">
        <f>IF(D62="متبقي", 1, 0)</f>
        <v/>
      </c>
      <c r="H62" s="10" t="inlineStr">
        <is>
          <t>قيد التجهيز والعمل</t>
        </is>
      </c>
    </row>
    <row r="63">
      <c r="A63" s="17" t="n">
        <v>61</v>
      </c>
      <c r="B63" s="17" t="inlineStr">
        <is>
          <t>Zone B</t>
        </is>
      </c>
      <c r="C63" s="17" t="inlineStr">
        <is>
          <t>B24</t>
        </is>
      </c>
      <c r="D63" s="18" t="inlineStr">
        <is>
          <t>متبقي</t>
        </is>
      </c>
      <c r="E63" s="17" t="n">
        <v>1</v>
      </c>
      <c r="F63" s="17">
        <f>IF(D63="منجز", 1, 0)</f>
        <v/>
      </c>
      <c r="G63" s="17">
        <f>IF(D63="متبقي", 1, 0)</f>
        <v/>
      </c>
      <c r="H63" s="19" t="inlineStr">
        <is>
          <t>قيد التجهيز والعمل</t>
        </is>
      </c>
    </row>
    <row r="64">
      <c r="A64" s="11" t="n">
        <v>62</v>
      </c>
      <c r="B64" s="11" t="inlineStr">
        <is>
          <t>Zone B</t>
        </is>
      </c>
      <c r="C64" s="11" t="inlineStr">
        <is>
          <t>B25</t>
        </is>
      </c>
      <c r="D64" s="16" t="inlineStr">
        <is>
          <t>منجز</t>
        </is>
      </c>
      <c r="E64" s="11" t="n">
        <v>1</v>
      </c>
      <c r="F64" s="11">
        <f>IF(D64="منجز", 1, 0)</f>
        <v/>
      </c>
      <c r="G64" s="11">
        <f>IF(D64="متبقي", 1, 0)</f>
        <v/>
      </c>
      <c r="H64" s="10" t="inlineStr">
        <is>
          <t>مطابق لجرودات الموقع</t>
        </is>
      </c>
    </row>
    <row r="65">
      <c r="A65" s="17" t="n">
        <v>63</v>
      </c>
      <c r="B65" s="17" t="inlineStr">
        <is>
          <t>Zone B</t>
        </is>
      </c>
      <c r="C65" s="17" t="inlineStr">
        <is>
          <t>B26</t>
        </is>
      </c>
      <c r="D65" s="18" t="inlineStr">
        <is>
          <t>منجز</t>
        </is>
      </c>
      <c r="E65" s="17" t="n">
        <v>1</v>
      </c>
      <c r="F65" s="17">
        <f>IF(D65="منجز", 1, 0)</f>
        <v/>
      </c>
      <c r="G65" s="17">
        <f>IF(D65="متبقي", 1, 0)</f>
        <v/>
      </c>
      <c r="H65" s="19" t="inlineStr">
        <is>
          <t>مطابق لجرودات الموقع</t>
        </is>
      </c>
    </row>
    <row r="66">
      <c r="A66" s="11" t="n">
        <v>64</v>
      </c>
      <c r="B66" s="11" t="inlineStr">
        <is>
          <t>Zone B</t>
        </is>
      </c>
      <c r="C66" s="11" t="inlineStr">
        <is>
          <t>B27</t>
        </is>
      </c>
      <c r="D66" s="16" t="inlineStr">
        <is>
          <t>منجز</t>
        </is>
      </c>
      <c r="E66" s="11" t="n">
        <v>1</v>
      </c>
      <c r="F66" s="11">
        <f>IF(D66="منجز", 1, 0)</f>
        <v/>
      </c>
      <c r="G66" s="11">
        <f>IF(D66="متبقي", 1, 0)</f>
        <v/>
      </c>
      <c r="H66" s="10" t="inlineStr">
        <is>
          <t>مطابق لجرودات الموقع</t>
        </is>
      </c>
    </row>
    <row r="67">
      <c r="A67" s="17" t="n">
        <v>65</v>
      </c>
      <c r="B67" s="17" t="inlineStr">
        <is>
          <t>Zone B</t>
        </is>
      </c>
      <c r="C67" s="17" t="inlineStr">
        <is>
          <t>B28</t>
        </is>
      </c>
      <c r="D67" s="18" t="inlineStr">
        <is>
          <t>منجز</t>
        </is>
      </c>
      <c r="E67" s="17" t="n">
        <v>1</v>
      </c>
      <c r="F67" s="17">
        <f>IF(D67="منجز", 1, 0)</f>
        <v/>
      </c>
      <c r="G67" s="17">
        <f>IF(D67="متبقي", 1, 0)</f>
        <v/>
      </c>
      <c r="H67" s="19" t="inlineStr">
        <is>
          <t>مطابق لجرودات الموقع</t>
        </is>
      </c>
    </row>
    <row r="68">
      <c r="A68" s="11" t="n">
        <v>66</v>
      </c>
      <c r="B68" s="11" t="inlineStr">
        <is>
          <t>Zone B</t>
        </is>
      </c>
      <c r="C68" s="11" t="inlineStr">
        <is>
          <t>B29</t>
        </is>
      </c>
      <c r="D68" s="16" t="inlineStr">
        <is>
          <t>منجز</t>
        </is>
      </c>
      <c r="E68" s="11" t="n">
        <v>1</v>
      </c>
      <c r="F68" s="11">
        <f>IF(D68="منجز", 1, 0)</f>
        <v/>
      </c>
      <c r="G68" s="11">
        <f>IF(D68="متبقي", 1, 0)</f>
        <v/>
      </c>
      <c r="H68" s="10" t="inlineStr">
        <is>
          <t>مطابق لجرودات الموقع</t>
        </is>
      </c>
    </row>
    <row r="69">
      <c r="A69" s="17" t="n">
        <v>67</v>
      </c>
      <c r="B69" s="17" t="inlineStr">
        <is>
          <t>Zone B</t>
        </is>
      </c>
      <c r="C69" s="17" t="inlineStr">
        <is>
          <t>B30</t>
        </is>
      </c>
      <c r="D69" s="18" t="inlineStr">
        <is>
          <t>منجز</t>
        </is>
      </c>
      <c r="E69" s="17" t="n">
        <v>1</v>
      </c>
      <c r="F69" s="17">
        <f>IF(D69="منجز", 1, 0)</f>
        <v/>
      </c>
      <c r="G69" s="17">
        <f>IF(D69="متبقي", 1, 0)</f>
        <v/>
      </c>
      <c r="H69" s="19" t="inlineStr">
        <is>
          <t>مطابق لجرودات الموقع</t>
        </is>
      </c>
    </row>
    <row r="70">
      <c r="A70" s="11" t="n">
        <v>68</v>
      </c>
      <c r="B70" s="11" t="inlineStr">
        <is>
          <t>Zone B</t>
        </is>
      </c>
      <c r="C70" s="11" t="inlineStr">
        <is>
          <t>B31</t>
        </is>
      </c>
      <c r="D70" s="16" t="inlineStr">
        <is>
          <t>منجز</t>
        </is>
      </c>
      <c r="E70" s="11" t="n">
        <v>1</v>
      </c>
      <c r="F70" s="11">
        <f>IF(D70="منجز", 1, 0)</f>
        <v/>
      </c>
      <c r="G70" s="11">
        <f>IF(D70="متبقي", 1, 0)</f>
        <v/>
      </c>
      <c r="H70" s="10" t="inlineStr">
        <is>
          <t>مطابق لجرودات الموقع</t>
        </is>
      </c>
    </row>
    <row r="71">
      <c r="A71" s="17" t="n">
        <v>69</v>
      </c>
      <c r="B71" s="17" t="inlineStr">
        <is>
          <t>Zone B</t>
        </is>
      </c>
      <c r="C71" s="17" t="inlineStr">
        <is>
          <t>B32</t>
        </is>
      </c>
      <c r="D71" s="18" t="inlineStr">
        <is>
          <t>منجز</t>
        </is>
      </c>
      <c r="E71" s="17" t="n">
        <v>1</v>
      </c>
      <c r="F71" s="17">
        <f>IF(D71="منجز", 1, 0)</f>
        <v/>
      </c>
      <c r="G71" s="17">
        <f>IF(D71="متبقي", 1, 0)</f>
        <v/>
      </c>
      <c r="H71" s="19" t="inlineStr">
        <is>
          <t>مطابق لجرودات الموقع</t>
        </is>
      </c>
    </row>
    <row r="72">
      <c r="A72" s="11" t="n">
        <v>70</v>
      </c>
      <c r="B72" s="11" t="inlineStr">
        <is>
          <t>Zone B</t>
        </is>
      </c>
      <c r="C72" s="11" t="inlineStr">
        <is>
          <t>B33</t>
        </is>
      </c>
      <c r="D72" s="16" t="inlineStr">
        <is>
          <t>منجز</t>
        </is>
      </c>
      <c r="E72" s="11" t="n">
        <v>1</v>
      </c>
      <c r="F72" s="11">
        <f>IF(D72="منجز", 1, 0)</f>
        <v/>
      </c>
      <c r="G72" s="11">
        <f>IF(D72="متبقي", 1, 0)</f>
        <v/>
      </c>
      <c r="H72" s="10" t="inlineStr">
        <is>
          <t>مطابق لجرودات الموقع</t>
        </is>
      </c>
    </row>
    <row r="73">
      <c r="A73" s="17" t="n">
        <v>71</v>
      </c>
      <c r="B73" s="17" t="inlineStr">
        <is>
          <t>Zone B</t>
        </is>
      </c>
      <c r="C73" s="17" t="inlineStr">
        <is>
          <t>B34</t>
        </is>
      </c>
      <c r="D73" s="18" t="inlineStr">
        <is>
          <t>منجز</t>
        </is>
      </c>
      <c r="E73" s="17" t="n">
        <v>1</v>
      </c>
      <c r="F73" s="17">
        <f>IF(D73="منجز", 1, 0)</f>
        <v/>
      </c>
      <c r="G73" s="17">
        <f>IF(D73="متبقي", 1, 0)</f>
        <v/>
      </c>
      <c r="H73" s="19" t="inlineStr">
        <is>
          <t>مطابق لجرودات الموقع</t>
        </is>
      </c>
    </row>
    <row r="74">
      <c r="A74" s="11" t="n">
        <v>72</v>
      </c>
      <c r="B74" s="11" t="inlineStr">
        <is>
          <t>Zone B</t>
        </is>
      </c>
      <c r="C74" s="11" t="inlineStr">
        <is>
          <t>B35</t>
        </is>
      </c>
      <c r="D74" s="16" t="inlineStr">
        <is>
          <t>منجز</t>
        </is>
      </c>
      <c r="E74" s="11" t="n">
        <v>1</v>
      </c>
      <c r="F74" s="11">
        <f>IF(D74="منجز", 1, 0)</f>
        <v/>
      </c>
      <c r="G74" s="11">
        <f>IF(D74="متبقي", 1, 0)</f>
        <v/>
      </c>
      <c r="H74" s="10" t="inlineStr">
        <is>
          <t>مطابق لجرودات الموقع</t>
        </is>
      </c>
    </row>
    <row r="75">
      <c r="A75" s="17" t="n">
        <v>73</v>
      </c>
      <c r="B75" s="17" t="inlineStr">
        <is>
          <t>Zone B</t>
        </is>
      </c>
      <c r="C75" s="17" t="inlineStr">
        <is>
          <t>B36</t>
        </is>
      </c>
      <c r="D75" s="18" t="inlineStr">
        <is>
          <t>منجز</t>
        </is>
      </c>
      <c r="E75" s="17" t="n">
        <v>1</v>
      </c>
      <c r="F75" s="17">
        <f>IF(D75="منجز", 1, 0)</f>
        <v/>
      </c>
      <c r="G75" s="17">
        <f>IF(D75="متبقي", 1, 0)</f>
        <v/>
      </c>
      <c r="H75" s="19" t="inlineStr">
        <is>
          <t>مطابق لجرودات الموقع</t>
        </is>
      </c>
    </row>
    <row r="76">
      <c r="A76" s="11" t="n">
        <v>74</v>
      </c>
      <c r="B76" s="11" t="inlineStr">
        <is>
          <t>Zone B</t>
        </is>
      </c>
      <c r="C76" s="11" t="inlineStr">
        <is>
          <t>B37</t>
        </is>
      </c>
      <c r="D76" s="16" t="inlineStr">
        <is>
          <t>منجز</t>
        </is>
      </c>
      <c r="E76" s="11" t="n">
        <v>1</v>
      </c>
      <c r="F76" s="11">
        <f>IF(D76="منجز", 1, 0)</f>
        <v/>
      </c>
      <c r="G76" s="11">
        <f>IF(D76="متبقي", 1, 0)</f>
        <v/>
      </c>
      <c r="H76" s="10" t="inlineStr">
        <is>
          <t>مطابق لجرودات الموقع</t>
        </is>
      </c>
    </row>
    <row r="77">
      <c r="A77" s="17" t="n">
        <v>75</v>
      </c>
      <c r="B77" s="17" t="inlineStr">
        <is>
          <t>Zone B</t>
        </is>
      </c>
      <c r="C77" s="17" t="inlineStr">
        <is>
          <t>B38</t>
        </is>
      </c>
      <c r="D77" s="18" t="inlineStr">
        <is>
          <t>منجز</t>
        </is>
      </c>
      <c r="E77" s="17" t="n">
        <v>1</v>
      </c>
      <c r="F77" s="17">
        <f>IF(D77="منجز", 1, 0)</f>
        <v/>
      </c>
      <c r="G77" s="17">
        <f>IF(D77="متبقي", 1, 0)</f>
        <v/>
      </c>
      <c r="H77" s="19" t="inlineStr">
        <is>
          <t>مطابق لجرودات الموقع</t>
        </is>
      </c>
    </row>
    <row r="78">
      <c r="A78" s="11" t="n">
        <v>76</v>
      </c>
      <c r="B78" s="11" t="inlineStr">
        <is>
          <t>Zone C</t>
        </is>
      </c>
      <c r="C78" s="11" t="inlineStr">
        <is>
          <t>C1</t>
        </is>
      </c>
      <c r="D78" s="16" t="inlineStr">
        <is>
          <t>منجز</t>
        </is>
      </c>
      <c r="E78" s="11" t="n">
        <v>1</v>
      </c>
      <c r="F78" s="11">
        <f>IF(D78="منجز", 1, 0)</f>
        <v/>
      </c>
      <c r="G78" s="11">
        <f>IF(D78="متبقي", 1, 0)</f>
        <v/>
      </c>
      <c r="H78" s="10" t="inlineStr">
        <is>
          <t>مطابق لجرودات الموقع</t>
        </is>
      </c>
    </row>
    <row r="79">
      <c r="A79" s="17" t="n">
        <v>77</v>
      </c>
      <c r="B79" s="17" t="inlineStr">
        <is>
          <t>Zone C</t>
        </is>
      </c>
      <c r="C79" s="17" t="inlineStr">
        <is>
          <t>C2</t>
        </is>
      </c>
      <c r="D79" s="18" t="inlineStr">
        <is>
          <t>منجز</t>
        </is>
      </c>
      <c r="E79" s="17" t="n">
        <v>1</v>
      </c>
      <c r="F79" s="17">
        <f>IF(D79="منجز", 1, 0)</f>
        <v/>
      </c>
      <c r="G79" s="17">
        <f>IF(D79="متبقي", 1, 0)</f>
        <v/>
      </c>
      <c r="H79" s="19" t="inlineStr">
        <is>
          <t>مطابق لجرودات الموقع</t>
        </is>
      </c>
    </row>
    <row r="80">
      <c r="A80" s="11" t="n">
        <v>78</v>
      </c>
      <c r="B80" s="11" t="inlineStr">
        <is>
          <t>Zone C</t>
        </is>
      </c>
      <c r="C80" s="11" t="inlineStr">
        <is>
          <t>C3</t>
        </is>
      </c>
      <c r="D80" s="16" t="inlineStr">
        <is>
          <t>منجز</t>
        </is>
      </c>
      <c r="E80" s="11" t="n">
        <v>1</v>
      </c>
      <c r="F80" s="11">
        <f>IF(D80="منجز", 1, 0)</f>
        <v/>
      </c>
      <c r="G80" s="11">
        <f>IF(D80="متبقي", 1, 0)</f>
        <v/>
      </c>
      <c r="H80" s="10" t="inlineStr">
        <is>
          <t>مطابق لجرودات الموقع</t>
        </is>
      </c>
    </row>
    <row r="81">
      <c r="A81" s="17" t="n">
        <v>79</v>
      </c>
      <c r="B81" s="17" t="inlineStr">
        <is>
          <t>Zone C</t>
        </is>
      </c>
      <c r="C81" s="17" t="inlineStr">
        <is>
          <t>C4</t>
        </is>
      </c>
      <c r="D81" s="18" t="inlineStr">
        <is>
          <t>منجز</t>
        </is>
      </c>
      <c r="E81" s="17" t="n">
        <v>1</v>
      </c>
      <c r="F81" s="17">
        <f>IF(D81="منجز", 1, 0)</f>
        <v/>
      </c>
      <c r="G81" s="17">
        <f>IF(D81="متبقي", 1, 0)</f>
        <v/>
      </c>
      <c r="H81" s="19" t="inlineStr">
        <is>
          <t>مطابق لجرودات الموقع</t>
        </is>
      </c>
    </row>
    <row r="82">
      <c r="A82" s="11" t="n">
        <v>80</v>
      </c>
      <c r="B82" s="11" t="inlineStr">
        <is>
          <t>Zone C</t>
        </is>
      </c>
      <c r="C82" s="11" t="inlineStr">
        <is>
          <t>C5</t>
        </is>
      </c>
      <c r="D82" s="16" t="inlineStr">
        <is>
          <t>منجز</t>
        </is>
      </c>
      <c r="E82" s="11" t="n">
        <v>1</v>
      </c>
      <c r="F82" s="11">
        <f>IF(D82="منجز", 1, 0)</f>
        <v/>
      </c>
      <c r="G82" s="11">
        <f>IF(D82="متبقي", 1, 0)</f>
        <v/>
      </c>
      <c r="H82" s="10" t="inlineStr">
        <is>
          <t>مطابق لجرودات الموقع</t>
        </is>
      </c>
    </row>
    <row r="83">
      <c r="A83" s="17" t="n">
        <v>81</v>
      </c>
      <c r="B83" s="17" t="inlineStr">
        <is>
          <t>Zone C</t>
        </is>
      </c>
      <c r="C83" s="17" t="inlineStr">
        <is>
          <t>C6</t>
        </is>
      </c>
      <c r="D83" s="18" t="inlineStr">
        <is>
          <t>منجز</t>
        </is>
      </c>
      <c r="E83" s="17" t="n">
        <v>1</v>
      </c>
      <c r="F83" s="17">
        <f>IF(D83="منجز", 1, 0)</f>
        <v/>
      </c>
      <c r="G83" s="17">
        <f>IF(D83="متبقي", 1, 0)</f>
        <v/>
      </c>
      <c r="H83" s="19" t="inlineStr">
        <is>
          <t>مطابق لجرودات الموقع</t>
        </is>
      </c>
    </row>
    <row r="84">
      <c r="A84" s="11" t="n">
        <v>82</v>
      </c>
      <c r="B84" s="11" t="inlineStr">
        <is>
          <t>Zone C</t>
        </is>
      </c>
      <c r="C84" s="11" t="inlineStr">
        <is>
          <t>C7</t>
        </is>
      </c>
      <c r="D84" s="16" t="inlineStr">
        <is>
          <t>منجز</t>
        </is>
      </c>
      <c r="E84" s="11" t="n">
        <v>1</v>
      </c>
      <c r="F84" s="11">
        <f>IF(D84="منجز", 1, 0)</f>
        <v/>
      </c>
      <c r="G84" s="11">
        <f>IF(D84="متبقي", 1, 0)</f>
        <v/>
      </c>
      <c r="H84" s="10" t="inlineStr">
        <is>
          <t>مطابق لجرودات الموقع</t>
        </is>
      </c>
    </row>
    <row r="85">
      <c r="A85" s="17" t="n">
        <v>83</v>
      </c>
      <c r="B85" s="17" t="inlineStr">
        <is>
          <t>Zone C</t>
        </is>
      </c>
      <c r="C85" s="17" t="inlineStr">
        <is>
          <t>C8</t>
        </is>
      </c>
      <c r="D85" s="18" t="inlineStr">
        <is>
          <t>منجز</t>
        </is>
      </c>
      <c r="E85" s="17" t="n">
        <v>1</v>
      </c>
      <c r="F85" s="17">
        <f>IF(D85="منجز", 1, 0)</f>
        <v/>
      </c>
      <c r="G85" s="17">
        <f>IF(D85="متبقي", 1, 0)</f>
        <v/>
      </c>
      <c r="H85" s="19" t="inlineStr">
        <is>
          <t>مطابق لجرودات الموقع</t>
        </is>
      </c>
    </row>
    <row r="86">
      <c r="A86" s="11" t="n">
        <v>84</v>
      </c>
      <c r="B86" s="11" t="inlineStr">
        <is>
          <t>Zone C</t>
        </is>
      </c>
      <c r="C86" s="11" t="inlineStr">
        <is>
          <t>C9</t>
        </is>
      </c>
      <c r="D86" s="16" t="inlineStr">
        <is>
          <t>منجز</t>
        </is>
      </c>
      <c r="E86" s="11" t="n">
        <v>1</v>
      </c>
      <c r="F86" s="11">
        <f>IF(D86="منجز", 1, 0)</f>
        <v/>
      </c>
      <c r="G86" s="11">
        <f>IF(D86="متبقي", 1, 0)</f>
        <v/>
      </c>
      <c r="H86" s="10" t="inlineStr">
        <is>
          <t>مطابق لجرودات الموقع</t>
        </is>
      </c>
    </row>
    <row r="87">
      <c r="A87" s="17" t="n">
        <v>85</v>
      </c>
      <c r="B87" s="17" t="inlineStr">
        <is>
          <t>Zone C</t>
        </is>
      </c>
      <c r="C87" s="17" t="inlineStr">
        <is>
          <t>C10</t>
        </is>
      </c>
      <c r="D87" s="18" t="inlineStr">
        <is>
          <t>منجز</t>
        </is>
      </c>
      <c r="E87" s="17" t="n">
        <v>1</v>
      </c>
      <c r="F87" s="17">
        <f>IF(D87="منجز", 1, 0)</f>
        <v/>
      </c>
      <c r="G87" s="17">
        <f>IF(D87="متبقي", 1, 0)</f>
        <v/>
      </c>
      <c r="H87" s="19" t="inlineStr">
        <is>
          <t>مطابق لجرودات الموقع</t>
        </is>
      </c>
    </row>
    <row r="88">
      <c r="A88" s="11" t="n">
        <v>86</v>
      </c>
      <c r="B88" s="11" t="inlineStr">
        <is>
          <t>Zone C</t>
        </is>
      </c>
      <c r="C88" s="11" t="inlineStr">
        <is>
          <t>C11</t>
        </is>
      </c>
      <c r="D88" s="16" t="inlineStr">
        <is>
          <t>منجز</t>
        </is>
      </c>
      <c r="E88" s="11" t="n">
        <v>1</v>
      </c>
      <c r="F88" s="11">
        <f>IF(D88="منجز", 1, 0)</f>
        <v/>
      </c>
      <c r="G88" s="11">
        <f>IF(D88="متبقي", 1, 0)</f>
        <v/>
      </c>
      <c r="H88" s="10" t="inlineStr">
        <is>
          <t>مطابق لجرودات الموقع</t>
        </is>
      </c>
    </row>
    <row r="89">
      <c r="A89" s="17" t="n">
        <v>87</v>
      </c>
      <c r="B89" s="17" t="inlineStr">
        <is>
          <t>Zone C</t>
        </is>
      </c>
      <c r="C89" s="17" t="inlineStr">
        <is>
          <t>C12</t>
        </is>
      </c>
      <c r="D89" s="18" t="inlineStr">
        <is>
          <t>منجز</t>
        </is>
      </c>
      <c r="E89" s="17" t="n">
        <v>1</v>
      </c>
      <c r="F89" s="17">
        <f>IF(D89="منجز", 1, 0)</f>
        <v/>
      </c>
      <c r="G89" s="17">
        <f>IF(D89="متبقي", 1, 0)</f>
        <v/>
      </c>
      <c r="H89" s="19" t="inlineStr">
        <is>
          <t>مطابق لجرودات الموقع</t>
        </is>
      </c>
    </row>
    <row r="90">
      <c r="A90" s="11" t="n">
        <v>88</v>
      </c>
      <c r="B90" s="11" t="inlineStr">
        <is>
          <t>Zone C</t>
        </is>
      </c>
      <c r="C90" s="11" t="inlineStr">
        <is>
          <t>C13</t>
        </is>
      </c>
      <c r="D90" s="16" t="inlineStr">
        <is>
          <t>منجز</t>
        </is>
      </c>
      <c r="E90" s="11" t="n">
        <v>1</v>
      </c>
      <c r="F90" s="11">
        <f>IF(D90="منجز", 1, 0)</f>
        <v/>
      </c>
      <c r="G90" s="11">
        <f>IF(D90="متبقي", 1, 0)</f>
        <v/>
      </c>
      <c r="H90" s="10" t="inlineStr">
        <is>
          <t>مطابق لجرودات الموقع</t>
        </is>
      </c>
    </row>
    <row r="91">
      <c r="A91" s="17" t="n">
        <v>89</v>
      </c>
      <c r="B91" s="17" t="inlineStr">
        <is>
          <t>Zone C</t>
        </is>
      </c>
      <c r="C91" s="17" t="inlineStr">
        <is>
          <t>C14</t>
        </is>
      </c>
      <c r="D91" s="18" t="inlineStr">
        <is>
          <t>منجز</t>
        </is>
      </c>
      <c r="E91" s="17" t="n">
        <v>1</v>
      </c>
      <c r="F91" s="17">
        <f>IF(D91="منجز", 1, 0)</f>
        <v/>
      </c>
      <c r="G91" s="17">
        <f>IF(D91="متبقي", 1, 0)</f>
        <v/>
      </c>
      <c r="H91" s="19" t="inlineStr">
        <is>
          <t>مطابق لجرودات الموقع</t>
        </is>
      </c>
    </row>
    <row r="92">
      <c r="A92" s="11" t="n">
        <v>90</v>
      </c>
      <c r="B92" s="11" t="inlineStr">
        <is>
          <t>Zone C</t>
        </is>
      </c>
      <c r="C92" s="11" t="inlineStr">
        <is>
          <t>C15</t>
        </is>
      </c>
      <c r="D92" s="16" t="inlineStr">
        <is>
          <t>منجز</t>
        </is>
      </c>
      <c r="E92" s="11" t="n">
        <v>1</v>
      </c>
      <c r="F92" s="11">
        <f>IF(D92="منجز", 1, 0)</f>
        <v/>
      </c>
      <c r="G92" s="11">
        <f>IF(D92="متبقي", 1, 0)</f>
        <v/>
      </c>
      <c r="H92" s="10" t="inlineStr">
        <is>
          <t>مطابق لجرودات الموقع</t>
        </is>
      </c>
    </row>
    <row r="93">
      <c r="A93" s="17" t="n">
        <v>91</v>
      </c>
      <c r="B93" s="17" t="inlineStr">
        <is>
          <t>Zone C</t>
        </is>
      </c>
      <c r="C93" s="17" t="inlineStr">
        <is>
          <t>C16</t>
        </is>
      </c>
      <c r="D93" s="18" t="inlineStr">
        <is>
          <t>منجز</t>
        </is>
      </c>
      <c r="E93" s="17" t="n">
        <v>1</v>
      </c>
      <c r="F93" s="17">
        <f>IF(D93="منجز", 1, 0)</f>
        <v/>
      </c>
      <c r="G93" s="17">
        <f>IF(D93="متبقي", 1, 0)</f>
        <v/>
      </c>
      <c r="H93" s="19" t="inlineStr">
        <is>
          <t>مطابق لجرودات الموقع</t>
        </is>
      </c>
    </row>
    <row r="94">
      <c r="A94" s="11" t="n">
        <v>92</v>
      </c>
      <c r="B94" s="11" t="inlineStr">
        <is>
          <t>Zone C</t>
        </is>
      </c>
      <c r="C94" s="11" t="inlineStr">
        <is>
          <t>C17</t>
        </is>
      </c>
      <c r="D94" s="16" t="inlineStr">
        <is>
          <t>منجز</t>
        </is>
      </c>
      <c r="E94" s="11" t="n">
        <v>1</v>
      </c>
      <c r="F94" s="11">
        <f>IF(D94="منجز", 1, 0)</f>
        <v/>
      </c>
      <c r="G94" s="11">
        <f>IF(D94="متبقي", 1, 0)</f>
        <v/>
      </c>
      <c r="H94" s="10" t="inlineStr">
        <is>
          <t>مطابق لجرودات الموقع</t>
        </is>
      </c>
    </row>
    <row r="95">
      <c r="A95" s="17" t="n">
        <v>93</v>
      </c>
      <c r="B95" s="17" t="inlineStr">
        <is>
          <t>Zone C</t>
        </is>
      </c>
      <c r="C95" s="17" t="inlineStr">
        <is>
          <t>C18</t>
        </is>
      </c>
      <c r="D95" s="18" t="inlineStr">
        <is>
          <t>منجز</t>
        </is>
      </c>
      <c r="E95" s="17" t="n">
        <v>1</v>
      </c>
      <c r="F95" s="17">
        <f>IF(D95="منجز", 1, 0)</f>
        <v/>
      </c>
      <c r="G95" s="17">
        <f>IF(D95="متبقي", 1, 0)</f>
        <v/>
      </c>
      <c r="H95" s="19" t="inlineStr">
        <is>
          <t>مطابق لجرودات الموقع</t>
        </is>
      </c>
    </row>
    <row r="96">
      <c r="A96" s="11" t="n">
        <v>94</v>
      </c>
      <c r="B96" s="11" t="inlineStr">
        <is>
          <t>Zone C</t>
        </is>
      </c>
      <c r="C96" s="11" t="inlineStr">
        <is>
          <t>C19</t>
        </is>
      </c>
      <c r="D96" s="16" t="inlineStr">
        <is>
          <t>منجز</t>
        </is>
      </c>
      <c r="E96" s="11" t="n">
        <v>1</v>
      </c>
      <c r="F96" s="11">
        <f>IF(D96="منجز", 1, 0)</f>
        <v/>
      </c>
      <c r="G96" s="11">
        <f>IF(D96="متبقي", 1, 0)</f>
        <v/>
      </c>
      <c r="H96" s="10" t="inlineStr">
        <is>
          <t>مطابق لجرودات الموقع</t>
        </is>
      </c>
    </row>
    <row r="97">
      <c r="A97" s="17" t="n">
        <v>95</v>
      </c>
      <c r="B97" s="17" t="inlineStr">
        <is>
          <t>Zone C</t>
        </is>
      </c>
      <c r="C97" s="17" t="inlineStr">
        <is>
          <t>C20</t>
        </is>
      </c>
      <c r="D97" s="18" t="inlineStr">
        <is>
          <t>منجز</t>
        </is>
      </c>
      <c r="E97" s="17" t="n">
        <v>1</v>
      </c>
      <c r="F97" s="17">
        <f>IF(D97="منجز", 1, 0)</f>
        <v/>
      </c>
      <c r="G97" s="17">
        <f>IF(D97="متبقي", 1, 0)</f>
        <v/>
      </c>
      <c r="H97" s="19" t="inlineStr">
        <is>
          <t>مطابق لجرودات الموقع</t>
        </is>
      </c>
    </row>
    <row r="98">
      <c r="A98" s="11" t="n">
        <v>96</v>
      </c>
      <c r="B98" s="11" t="inlineStr">
        <is>
          <t>Zone C</t>
        </is>
      </c>
      <c r="C98" s="11" t="inlineStr">
        <is>
          <t>C21</t>
        </is>
      </c>
      <c r="D98" s="16" t="inlineStr">
        <is>
          <t>منجز</t>
        </is>
      </c>
      <c r="E98" s="11" t="n">
        <v>1</v>
      </c>
      <c r="F98" s="11">
        <f>IF(D98="منجز", 1, 0)</f>
        <v/>
      </c>
      <c r="G98" s="11">
        <f>IF(D98="متبقي", 1, 0)</f>
        <v/>
      </c>
      <c r="H98" s="10" t="inlineStr">
        <is>
          <t>مطابق لجرودات الموقع</t>
        </is>
      </c>
    </row>
    <row r="99">
      <c r="A99" s="17" t="n">
        <v>97</v>
      </c>
      <c r="B99" s="17" t="inlineStr">
        <is>
          <t>Zone C</t>
        </is>
      </c>
      <c r="C99" s="17" t="inlineStr">
        <is>
          <t>C22</t>
        </is>
      </c>
      <c r="D99" s="18" t="inlineStr">
        <is>
          <t>منجز</t>
        </is>
      </c>
      <c r="E99" s="17" t="n">
        <v>1</v>
      </c>
      <c r="F99" s="17">
        <f>IF(D99="منجز", 1, 0)</f>
        <v/>
      </c>
      <c r="G99" s="17">
        <f>IF(D99="متبقي", 1, 0)</f>
        <v/>
      </c>
      <c r="H99" s="19" t="inlineStr">
        <is>
          <t>مطابق لجرودات الموقع</t>
        </is>
      </c>
    </row>
    <row r="100">
      <c r="A100" s="11" t="n">
        <v>98</v>
      </c>
      <c r="B100" s="11" t="inlineStr">
        <is>
          <t>Zone C</t>
        </is>
      </c>
      <c r="C100" s="11" t="inlineStr">
        <is>
          <t>C23</t>
        </is>
      </c>
      <c r="D100" s="16" t="inlineStr">
        <is>
          <t>منجز</t>
        </is>
      </c>
      <c r="E100" s="11" t="n">
        <v>1</v>
      </c>
      <c r="F100" s="11">
        <f>IF(D100="منجز", 1, 0)</f>
        <v/>
      </c>
      <c r="G100" s="11">
        <f>IF(D100="متبقي", 1, 0)</f>
        <v/>
      </c>
      <c r="H100" s="10" t="inlineStr">
        <is>
          <t>مطابق لجرودات الموقع</t>
        </is>
      </c>
    </row>
    <row r="101">
      <c r="A101" s="17" t="n">
        <v>99</v>
      </c>
      <c r="B101" s="17" t="inlineStr">
        <is>
          <t>Zone C</t>
        </is>
      </c>
      <c r="C101" s="17" t="inlineStr">
        <is>
          <t>C24</t>
        </is>
      </c>
      <c r="D101" s="18" t="inlineStr">
        <is>
          <t>منجز</t>
        </is>
      </c>
      <c r="E101" s="17" t="n">
        <v>1</v>
      </c>
      <c r="F101" s="17">
        <f>IF(D101="منجز", 1, 0)</f>
        <v/>
      </c>
      <c r="G101" s="17">
        <f>IF(D101="متبقي", 1, 0)</f>
        <v/>
      </c>
      <c r="H101" s="19" t="inlineStr">
        <is>
          <t>مطابق لجرودات الموقع</t>
        </is>
      </c>
    </row>
    <row r="102">
      <c r="A102" s="11" t="n">
        <v>100</v>
      </c>
      <c r="B102" s="11" t="inlineStr">
        <is>
          <t>Zone C</t>
        </is>
      </c>
      <c r="C102" s="11" t="inlineStr">
        <is>
          <t>C25</t>
        </is>
      </c>
      <c r="D102" s="16" t="inlineStr">
        <is>
          <t>منجز</t>
        </is>
      </c>
      <c r="E102" s="11" t="n">
        <v>1</v>
      </c>
      <c r="F102" s="11">
        <f>IF(D102="منجز", 1, 0)</f>
        <v/>
      </c>
      <c r="G102" s="11">
        <f>IF(D102="متبقي", 1, 0)</f>
        <v/>
      </c>
      <c r="H102" s="10" t="inlineStr">
        <is>
          <t>مطابق لجرودات الموقع</t>
        </is>
      </c>
    </row>
    <row r="103">
      <c r="A103" s="17" t="n">
        <v>101</v>
      </c>
      <c r="B103" s="17" t="inlineStr">
        <is>
          <t>Zone C</t>
        </is>
      </c>
      <c r="C103" s="17" t="inlineStr">
        <is>
          <t>C26</t>
        </is>
      </c>
      <c r="D103" s="18" t="inlineStr">
        <is>
          <t>منجز</t>
        </is>
      </c>
      <c r="E103" s="17" t="n">
        <v>1</v>
      </c>
      <c r="F103" s="17">
        <f>IF(D103="منجز", 1, 0)</f>
        <v/>
      </c>
      <c r="G103" s="17">
        <f>IF(D103="متبقي", 1, 0)</f>
        <v/>
      </c>
      <c r="H103" s="19" t="inlineStr">
        <is>
          <t>مطابق لجرودات الموقع</t>
        </is>
      </c>
    </row>
    <row r="104">
      <c r="A104" s="11" t="n">
        <v>102</v>
      </c>
      <c r="B104" s="11" t="inlineStr">
        <is>
          <t>Zone C</t>
        </is>
      </c>
      <c r="C104" s="11" t="inlineStr">
        <is>
          <t>C27</t>
        </is>
      </c>
      <c r="D104" s="16" t="inlineStr">
        <is>
          <t>منجز</t>
        </is>
      </c>
      <c r="E104" s="11" t="n">
        <v>1</v>
      </c>
      <c r="F104" s="11">
        <f>IF(D104="منجز", 1, 0)</f>
        <v/>
      </c>
      <c r="G104" s="11">
        <f>IF(D104="متبقي", 1, 0)</f>
        <v/>
      </c>
      <c r="H104" s="10" t="inlineStr">
        <is>
          <t>مطابق لجرودات الموقع</t>
        </is>
      </c>
    </row>
    <row r="105">
      <c r="A105" s="17" t="n">
        <v>103</v>
      </c>
      <c r="B105" s="17" t="inlineStr">
        <is>
          <t>Zone C</t>
        </is>
      </c>
      <c r="C105" s="17" t="inlineStr">
        <is>
          <t>C28</t>
        </is>
      </c>
      <c r="D105" s="18" t="inlineStr">
        <is>
          <t>منجز</t>
        </is>
      </c>
      <c r="E105" s="17" t="n">
        <v>1</v>
      </c>
      <c r="F105" s="17">
        <f>IF(D105="منجز", 1, 0)</f>
        <v/>
      </c>
      <c r="G105" s="17">
        <f>IF(D105="متبقي", 1, 0)</f>
        <v/>
      </c>
      <c r="H105" s="19" t="inlineStr">
        <is>
          <t>مطابق لجرودات الموقع</t>
        </is>
      </c>
    </row>
    <row r="106">
      <c r="A106" s="11" t="n">
        <v>104</v>
      </c>
      <c r="B106" s="11" t="inlineStr">
        <is>
          <t>Zone C</t>
        </is>
      </c>
      <c r="C106" s="11" t="inlineStr">
        <is>
          <t>C29</t>
        </is>
      </c>
      <c r="D106" s="16" t="inlineStr">
        <is>
          <t>منجز</t>
        </is>
      </c>
      <c r="E106" s="11" t="n">
        <v>1</v>
      </c>
      <c r="F106" s="11">
        <f>IF(D106="منجز", 1, 0)</f>
        <v/>
      </c>
      <c r="G106" s="11">
        <f>IF(D106="متبقي", 1, 0)</f>
        <v/>
      </c>
      <c r="H106" s="10" t="inlineStr">
        <is>
          <t>مطابق لجرودات الموقع</t>
        </is>
      </c>
    </row>
    <row r="107">
      <c r="A107" s="17" t="n">
        <v>105</v>
      </c>
      <c r="B107" s="17" t="inlineStr">
        <is>
          <t>Zone C</t>
        </is>
      </c>
      <c r="C107" s="17" t="inlineStr">
        <is>
          <t>C30</t>
        </is>
      </c>
      <c r="D107" s="18" t="inlineStr">
        <is>
          <t>منجز</t>
        </is>
      </c>
      <c r="E107" s="17" t="n">
        <v>1</v>
      </c>
      <c r="F107" s="17">
        <f>IF(D107="منجز", 1, 0)</f>
        <v/>
      </c>
      <c r="G107" s="17">
        <f>IF(D107="متبقي", 1, 0)</f>
        <v/>
      </c>
      <c r="H107" s="19" t="inlineStr">
        <is>
          <t>مطابق لجرودات الموقع</t>
        </is>
      </c>
    </row>
    <row r="108">
      <c r="A108" s="11" t="n">
        <v>106</v>
      </c>
      <c r="B108" s="11" t="inlineStr">
        <is>
          <t>Zone C</t>
        </is>
      </c>
      <c r="C108" s="11" t="inlineStr">
        <is>
          <t>C31</t>
        </is>
      </c>
      <c r="D108" s="16" t="inlineStr">
        <is>
          <t>منجز</t>
        </is>
      </c>
      <c r="E108" s="11" t="n">
        <v>1</v>
      </c>
      <c r="F108" s="11">
        <f>IF(D108="منجز", 1, 0)</f>
        <v/>
      </c>
      <c r="G108" s="11">
        <f>IF(D108="متبقي", 1, 0)</f>
        <v/>
      </c>
      <c r="H108" s="10" t="inlineStr">
        <is>
          <t>مطابق لجرودات الموقع</t>
        </is>
      </c>
    </row>
    <row r="109">
      <c r="A109" s="17" t="n">
        <v>107</v>
      </c>
      <c r="B109" s="17" t="inlineStr">
        <is>
          <t>Zone C</t>
        </is>
      </c>
      <c r="C109" s="17" t="inlineStr">
        <is>
          <t>C32</t>
        </is>
      </c>
      <c r="D109" s="18" t="inlineStr">
        <is>
          <t>منجز</t>
        </is>
      </c>
      <c r="E109" s="17" t="n">
        <v>1</v>
      </c>
      <c r="F109" s="17">
        <f>IF(D109="منجز", 1, 0)</f>
        <v/>
      </c>
      <c r="G109" s="17">
        <f>IF(D109="متبقي", 1, 0)</f>
        <v/>
      </c>
      <c r="H109" s="19" t="inlineStr">
        <is>
          <t>مطابق لجرودات الموقع</t>
        </is>
      </c>
    </row>
    <row r="110">
      <c r="A110" s="11" t="n">
        <v>108</v>
      </c>
      <c r="B110" s="11" t="inlineStr">
        <is>
          <t>Zone C</t>
        </is>
      </c>
      <c r="C110" s="11" t="inlineStr">
        <is>
          <t>C33</t>
        </is>
      </c>
      <c r="D110" s="16" t="inlineStr">
        <is>
          <t>منجز</t>
        </is>
      </c>
      <c r="E110" s="11" t="n">
        <v>1</v>
      </c>
      <c r="F110" s="11">
        <f>IF(D110="منجز", 1, 0)</f>
        <v/>
      </c>
      <c r="G110" s="11">
        <f>IF(D110="متبقي", 1, 0)</f>
        <v/>
      </c>
      <c r="H110" s="10" t="inlineStr">
        <is>
          <t>مطابق لجرودات الموقع</t>
        </is>
      </c>
    </row>
    <row r="111">
      <c r="A111" s="17" t="n">
        <v>109</v>
      </c>
      <c r="B111" s="17" t="inlineStr">
        <is>
          <t>Zone C</t>
        </is>
      </c>
      <c r="C111" s="17" t="inlineStr">
        <is>
          <t>C34</t>
        </is>
      </c>
      <c r="D111" s="18" t="inlineStr">
        <is>
          <t>منجز</t>
        </is>
      </c>
      <c r="E111" s="17" t="n">
        <v>1</v>
      </c>
      <c r="F111" s="17">
        <f>IF(D111="منجز", 1, 0)</f>
        <v/>
      </c>
      <c r="G111" s="17">
        <f>IF(D111="متبقي", 1, 0)</f>
        <v/>
      </c>
      <c r="H111" s="19" t="inlineStr">
        <is>
          <t>مطابق لجرودات الموقع</t>
        </is>
      </c>
    </row>
    <row r="112">
      <c r="A112" s="11" t="n">
        <v>110</v>
      </c>
      <c r="B112" s="11" t="inlineStr">
        <is>
          <t>Zone C</t>
        </is>
      </c>
      <c r="C112" s="11" t="inlineStr">
        <is>
          <t>C35</t>
        </is>
      </c>
      <c r="D112" s="16" t="inlineStr">
        <is>
          <t>منجز</t>
        </is>
      </c>
      <c r="E112" s="11" t="n">
        <v>1</v>
      </c>
      <c r="F112" s="11">
        <f>IF(D112="منجز", 1, 0)</f>
        <v/>
      </c>
      <c r="G112" s="11">
        <f>IF(D112="متبقي", 1, 0)</f>
        <v/>
      </c>
      <c r="H112" s="10" t="inlineStr">
        <is>
          <t>مطابق لجرودات الموقع</t>
        </is>
      </c>
    </row>
    <row r="113">
      <c r="A113" s="17" t="n">
        <v>111</v>
      </c>
      <c r="B113" s="17" t="inlineStr">
        <is>
          <t>Zone C</t>
        </is>
      </c>
      <c r="C113" s="17" t="inlineStr">
        <is>
          <t>C36</t>
        </is>
      </c>
      <c r="D113" s="18" t="inlineStr">
        <is>
          <t>منجز</t>
        </is>
      </c>
      <c r="E113" s="17" t="n">
        <v>1</v>
      </c>
      <c r="F113" s="17">
        <f>IF(D113="منجز", 1, 0)</f>
        <v/>
      </c>
      <c r="G113" s="17">
        <f>IF(D113="متبقي", 1, 0)</f>
        <v/>
      </c>
      <c r="H113" s="19" t="inlineStr">
        <is>
          <t>مطابق لجرودات الموقع</t>
        </is>
      </c>
    </row>
    <row r="114">
      <c r="A114" s="11" t="n">
        <v>112</v>
      </c>
      <c r="B114" s="11" t="inlineStr">
        <is>
          <t>Zone C</t>
        </is>
      </c>
      <c r="C114" s="11" t="inlineStr">
        <is>
          <t>C37</t>
        </is>
      </c>
      <c r="D114" s="16" t="inlineStr">
        <is>
          <t>منجز</t>
        </is>
      </c>
      <c r="E114" s="11" t="n">
        <v>1</v>
      </c>
      <c r="F114" s="11">
        <f>IF(D114="منجز", 1, 0)</f>
        <v/>
      </c>
      <c r="G114" s="11">
        <f>IF(D114="متبقي", 1, 0)</f>
        <v/>
      </c>
      <c r="H114" s="10" t="inlineStr">
        <is>
          <t>مطابق لجرودات الموقع</t>
        </is>
      </c>
    </row>
    <row r="115">
      <c r="A115" s="17" t="n">
        <v>113</v>
      </c>
      <c r="B115" s="17" t="inlineStr">
        <is>
          <t>Zone C</t>
        </is>
      </c>
      <c r="C115" s="17" t="inlineStr">
        <is>
          <t>C38</t>
        </is>
      </c>
      <c r="D115" s="18" t="inlineStr">
        <is>
          <t>منجز</t>
        </is>
      </c>
      <c r="E115" s="17" t="n">
        <v>1</v>
      </c>
      <c r="F115" s="17">
        <f>IF(D115="منجز", 1, 0)</f>
        <v/>
      </c>
      <c r="G115" s="17">
        <f>IF(D115="متبقي", 1, 0)</f>
        <v/>
      </c>
      <c r="H115" s="19" t="inlineStr">
        <is>
          <t>مطابق لجرودات الموقع</t>
        </is>
      </c>
    </row>
    <row r="116">
      <c r="A116" s="11" t="n">
        <v>113</v>
      </c>
      <c r="B116" s="11" t="inlineStr">
        <is>
          <t>Zone C</t>
        </is>
      </c>
      <c r="C116" s="11" t="inlineStr">
        <is>
          <t>C33</t>
        </is>
      </c>
      <c r="D116" s="16" t="inlineStr">
        <is>
          <t>متبقي</t>
        </is>
      </c>
      <c r="E116" s="11" t="n">
        <v>1</v>
      </c>
      <c r="F116" s="11">
        <f>IF(D116="منجز", 1, 0)</f>
        <v/>
      </c>
      <c r="G116" s="11">
        <f>IF(D116="متبقي", 1, 0)</f>
        <v/>
      </c>
      <c r="H116" s="10" t="inlineStr">
        <is>
          <t>قيد التجهيز والعمل</t>
        </is>
      </c>
    </row>
    <row r="117">
      <c r="A117" s="27" t="inlineStr">
        <is>
          <t>الإجمالي الكلي</t>
        </is>
      </c>
      <c r="B117" s="26" t="n"/>
      <c r="C117" s="26" t="n"/>
      <c r="D117" s="21" t="n"/>
      <c r="E117" s="22">
        <f>SUM(E4:E116)</f>
        <v/>
      </c>
      <c r="F117" s="22">
        <f>SUM(F4:F116)</f>
        <v/>
      </c>
      <c r="G117" s="22">
        <f>SUM(G4:G116)</f>
        <v/>
      </c>
      <c r="H117" s="21" t="n"/>
    </row>
  </sheetData>
  <mergeCells count="2">
    <mergeCell ref="A117:C117"/>
    <mergeCell ref="A2:H2"/>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showDropDown="0" showInputMessage="0" showErrorMessage="0" allowBlank="1" type="list">
      <formula1>"منجز,متبقي"</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B2:G19"/>
  <sheetViews>
    <sheetView showGridLines="1" rightToLeft="1" workbookViewId="0">
      <selection activeCell="A1" sqref="A1"/>
    </sheetView>
  </sheetViews>
  <sheetFormatPr baseColWidth="8" defaultRowHeight="15"/>
  <cols>
    <col width="12" customWidth="1" min="1" max="1"/>
    <col width="56" customWidth="1" min="2" max="2"/>
    <col width="25" customWidth="1" min="3" max="3"/>
    <col width="15" customWidth="1" min="4" max="4"/>
    <col width="15" customWidth="1" min="5" max="5"/>
    <col width="12" customWidth="1" min="6" max="6"/>
    <col width="45" customWidth="1" min="7" max="7"/>
  </cols>
  <sheetData>
    <row r="2" ht="40" customHeight="1">
      <c r="B2" s="1" t="inlineStr">
        <is>
          <t>تفاصيل توزيع قطع المرمر حسب المناطق (Zones) والألوان</t>
        </is>
      </c>
    </row>
    <row r="3" ht="25" customHeight="1">
      <c r="B3" s="9" t="inlineStr">
        <is>
          <t>المنطقة (Zone)</t>
        </is>
      </c>
      <c r="C3" s="9" t="inlineStr">
        <is>
          <t>طبيعة وفقرة العمل</t>
        </is>
      </c>
      <c r="D3" s="9" t="inlineStr">
        <is>
          <t>أبيض (قطعة)</t>
        </is>
      </c>
      <c r="E3" s="9" t="inlineStr">
        <is>
          <t>جوزي (قطعة)</t>
        </is>
      </c>
      <c r="F3" s="9" t="inlineStr">
        <is>
          <t>الإجمالي</t>
        </is>
      </c>
      <c r="G3" s="9" t="inlineStr">
        <is>
          <t>موقف التحديث الميداني</t>
        </is>
      </c>
    </row>
    <row r="4" ht="20" customHeight="1">
      <c r="B4" s="10" t="inlineStr">
        <is>
          <t>Zone A</t>
        </is>
      </c>
      <c r="C4" s="10" t="inlineStr">
        <is>
          <t>اعمال السكاي لايت</t>
        </is>
      </c>
      <c r="D4" s="14" t="n">
        <v>365</v>
      </c>
      <c r="E4" s="14" t="n">
        <v>133</v>
      </c>
      <c r="F4" s="11">
        <f>D4+E4</f>
        <v/>
      </c>
      <c r="G4" s="13" t="inlineStr">
        <is>
          <t>مكتمل هندسياً (الشربتة مكتملة 100%)</t>
        </is>
      </c>
    </row>
    <row r="5" ht="20" customHeight="1">
      <c r="B5" s="10" t="inlineStr">
        <is>
          <t>Zone A</t>
        </is>
      </c>
      <c r="C5" s="10" t="inlineStr">
        <is>
          <t>تطبيك النزلات</t>
        </is>
      </c>
      <c r="D5" s="14" t="n">
        <v>1083</v>
      </c>
      <c r="E5" s="14" t="n">
        <v>240</v>
      </c>
      <c r="F5" s="11">
        <f>D5+E5</f>
        <v/>
      </c>
      <c r="G5" s="13" t="inlineStr">
        <is>
          <t>مكتمل من الكوادر</t>
        </is>
      </c>
    </row>
    <row r="6" ht="20" customHeight="1">
      <c r="B6" s="10" t="inlineStr">
        <is>
          <t>Zone A</t>
        </is>
      </c>
      <c r="C6" s="10" t="inlineStr">
        <is>
          <t>استبدال رؤوس المثلثات</t>
        </is>
      </c>
      <c r="D6" s="14" t="n">
        <v>980</v>
      </c>
      <c r="E6" s="14" t="n">
        <v>707</v>
      </c>
      <c r="F6" s="11">
        <f>D6+E6</f>
        <v/>
      </c>
      <c r="G6" s="13" t="inlineStr">
        <is>
          <t>مكتمل بالكامل مع الاستبدال</t>
        </is>
      </c>
    </row>
    <row r="7" ht="20" customHeight="1">
      <c r="B7" s="10" t="inlineStr">
        <is>
          <t>Zone A</t>
        </is>
      </c>
      <c r="C7" s="10" t="inlineStr">
        <is>
          <t>شربت رؤوس المثلثات</t>
        </is>
      </c>
      <c r="D7" s="11" t="inlineStr">
        <is>
          <t>-</t>
        </is>
      </c>
      <c r="E7" s="11" t="inlineStr">
        <is>
          <t>-</t>
        </is>
      </c>
      <c r="F7" s="11" t="inlineStr">
        <is>
          <t>-</t>
        </is>
      </c>
      <c r="G7" s="13" t="inlineStr">
        <is>
          <t>مكتمل بالكامل</t>
        </is>
      </c>
    </row>
    <row r="8" ht="20" customHeight="1">
      <c r="B8" s="10" t="inlineStr">
        <is>
          <t>Zone A</t>
        </is>
      </c>
      <c r="C8" s="10" t="inlineStr">
        <is>
          <t>شربتة النزلات</t>
        </is>
      </c>
      <c r="D8" s="11" t="inlineStr">
        <is>
          <t>-</t>
        </is>
      </c>
      <c r="E8" s="11" t="inlineStr">
        <is>
          <t>-</t>
        </is>
      </c>
      <c r="F8" s="11" t="inlineStr">
        <is>
          <t>-</t>
        </is>
      </c>
      <c r="G8" s="13" t="inlineStr">
        <is>
          <t>واصل 96% (باقي مثلثات الجوينات الطولية)</t>
        </is>
      </c>
    </row>
    <row r="9" ht="20" customHeight="1">
      <c r="B9" s="10" t="inlineStr">
        <is>
          <t>Zone B</t>
        </is>
      </c>
      <c r="C9" s="10" t="inlineStr">
        <is>
          <t>أعمال السكاي لايت</t>
        </is>
      </c>
      <c r="D9" s="14" t="n">
        <v>500</v>
      </c>
      <c r="E9" s="14" t="n">
        <v>224</v>
      </c>
      <c r="F9" s="11">
        <f>D9+E9</f>
        <v/>
      </c>
      <c r="G9" s="13" t="inlineStr">
        <is>
          <t>مكتمل ومستقر الشربتة مكتملة 100%</t>
        </is>
      </c>
    </row>
    <row r="10" ht="20" customHeight="1">
      <c r="B10" s="10" t="inlineStr">
        <is>
          <t>Zone B</t>
        </is>
      </c>
      <c r="C10" s="10" t="inlineStr">
        <is>
          <t>تطبيك النزلات</t>
        </is>
      </c>
      <c r="D10" s="14" t="n">
        <v>219</v>
      </c>
      <c r="E10" s="14" t="n">
        <v>415</v>
      </c>
      <c r="F10" s="11">
        <f>D10+E10</f>
        <v/>
      </c>
      <c r="G10" s="13" t="inlineStr">
        <is>
          <t>مكتمل ومستقر</t>
        </is>
      </c>
    </row>
    <row r="11" ht="20" customHeight="1">
      <c r="B11" s="10" t="inlineStr">
        <is>
          <t>Zone B</t>
        </is>
      </c>
      <c r="C11" s="10" t="inlineStr">
        <is>
          <t>استبدال رؤوس المثلثات</t>
        </is>
      </c>
      <c r="D11" s="14" t="n">
        <v>1073</v>
      </c>
      <c r="E11" s="14" t="n">
        <v>222</v>
      </c>
      <c r="F11" s="11">
        <f>D11+E11</f>
        <v/>
      </c>
      <c r="G11" s="13" t="inlineStr">
        <is>
          <t>مكتمل بالكامل (لا يوجد استبدال مطلوب)</t>
        </is>
      </c>
    </row>
    <row r="12" ht="20" customHeight="1">
      <c r="B12" s="10" t="inlineStr">
        <is>
          <t>Zone B</t>
        </is>
      </c>
      <c r="C12" s="10" t="inlineStr">
        <is>
          <t>شربت رؤوس المثلثات</t>
        </is>
      </c>
      <c r="D12" s="11" t="inlineStr">
        <is>
          <t>-</t>
        </is>
      </c>
      <c r="E12" s="11" t="inlineStr">
        <is>
          <t>-</t>
        </is>
      </c>
      <c r="F12" s="11" t="inlineStr">
        <is>
          <t>-</t>
        </is>
      </c>
      <c r="G12" s="13" t="inlineStr">
        <is>
          <t>مكتمل بالكامل</t>
        </is>
      </c>
    </row>
    <row r="13" ht="20" customHeight="1">
      <c r="B13" s="10" t="inlineStr">
        <is>
          <t>Zone B</t>
        </is>
      </c>
      <c r="C13" s="10" t="inlineStr">
        <is>
          <t>شربتة النزلات</t>
        </is>
      </c>
      <c r="D13" s="11" t="inlineStr">
        <is>
          <t>-</t>
        </is>
      </c>
      <c r="E13" s="11" t="inlineStr">
        <is>
          <t>-</t>
        </is>
      </c>
      <c r="F13" s="11" t="inlineStr">
        <is>
          <t>-</t>
        </is>
      </c>
      <c r="G13" s="13" t="inlineStr">
        <is>
          <t>لم تبدأ بعد</t>
        </is>
      </c>
    </row>
    <row r="14" ht="20" customHeight="1">
      <c r="B14" s="10" t="inlineStr">
        <is>
          <t>Zone C</t>
        </is>
      </c>
      <c r="C14" s="10" t="inlineStr">
        <is>
          <t>اعمال السكاي لايت</t>
        </is>
      </c>
      <c r="D14" s="14" t="n">
        <v>475</v>
      </c>
      <c r="E14" s="14" t="n">
        <v>313</v>
      </c>
      <c r="F14" s="11">
        <f>D14+E14</f>
        <v/>
      </c>
      <c r="G14" s="13" t="inlineStr">
        <is>
          <t>مكتمل ومطابق الشربتة مكتملة 100%</t>
        </is>
      </c>
    </row>
    <row r="15" ht="20" customHeight="1">
      <c r="B15" s="10" t="inlineStr">
        <is>
          <t>Zone C</t>
        </is>
      </c>
      <c r="C15" s="10" t="inlineStr">
        <is>
          <t>تطبيك النزلات</t>
        </is>
      </c>
      <c r="D15" s="14" t="n">
        <v>2141</v>
      </c>
      <c r="E15" s="14" t="n">
        <v>2592</v>
      </c>
      <c r="F15" s="11">
        <f>D15+E15</f>
        <v/>
      </c>
      <c r="G15" s="13" t="inlineStr">
        <is>
          <t>مكتمل ومطابق</t>
        </is>
      </c>
    </row>
    <row r="16" ht="20" customHeight="1">
      <c r="B16" s="10" t="inlineStr">
        <is>
          <t>Zone C</t>
        </is>
      </c>
      <c r="C16" s="10" t="inlineStr">
        <is>
          <t>استبدال رؤوس المثلثات</t>
        </is>
      </c>
      <c r="D16" s="14" t="n">
        <v>2105</v>
      </c>
      <c r="E16" s="14" t="n">
        <v>1826</v>
      </c>
      <c r="F16" s="11">
        <f>D16+E16</f>
        <v/>
      </c>
      <c r="G16" s="13" t="inlineStr">
        <is>
          <t>مكتمل بالكامل مع الاستبدال</t>
        </is>
      </c>
    </row>
    <row r="17" ht="20" customHeight="1">
      <c r="B17" s="10" t="inlineStr">
        <is>
          <t>Zone C</t>
        </is>
      </c>
      <c r="C17" s="10" t="inlineStr">
        <is>
          <t>شربت رؤوس المثلثات</t>
        </is>
      </c>
      <c r="D17" s="11" t="inlineStr">
        <is>
          <t>-</t>
        </is>
      </c>
      <c r="E17" s="11" t="inlineStr">
        <is>
          <t>-</t>
        </is>
      </c>
      <c r="F17" s="11" t="inlineStr">
        <is>
          <t>-</t>
        </is>
      </c>
      <c r="G17" s="13" t="inlineStr">
        <is>
          <t>مكتمل بالكامل</t>
        </is>
      </c>
    </row>
    <row r="18" ht="20" customHeight="1">
      <c r="B18" s="10" t="inlineStr">
        <is>
          <t>Zone C</t>
        </is>
      </c>
      <c r="C18" s="10" t="inlineStr">
        <is>
          <t>شريتة النزلات</t>
        </is>
      </c>
      <c r="D18" s="11" t="inlineStr">
        <is>
          <t>-</t>
        </is>
      </c>
      <c r="E18" s="11" t="inlineStr">
        <is>
          <t>-</t>
        </is>
      </c>
      <c r="F18" s="11" t="inlineStr">
        <is>
          <t>-</t>
        </is>
      </c>
      <c r="G18" s="13" t="inlineStr">
        <is>
          <t>مشربت لغاية النزلة رقم 21</t>
        </is>
      </c>
    </row>
    <row r="19">
      <c r="B19" s="23" t="inlineStr">
        <is>
          <t>الإجمالي التراكمي</t>
        </is>
      </c>
      <c r="C19" s="23" t="inlineStr">
        <is>
          <t>كافة الأعمال والزونات</t>
        </is>
      </c>
      <c r="D19" s="24">
        <f>SUM(D4:D18)</f>
        <v/>
      </c>
      <c r="E19" s="24">
        <f>SUM(E4:E18)</f>
        <v/>
      </c>
      <c r="F19" s="24">
        <f>SUM(F4:F18)</f>
        <v/>
      </c>
      <c r="G19" s="25" t="n"/>
    </row>
  </sheetData>
  <mergeCells count="1">
    <mergeCell ref="B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2026-05-20T09:22:53Z</dcterms:created>
  <dcterms:modified xsi:type="dcterms:W3CDTF">2026-06-18T19:30:34Z</dcterms:modified>
</cp:coreProperties>
</file>